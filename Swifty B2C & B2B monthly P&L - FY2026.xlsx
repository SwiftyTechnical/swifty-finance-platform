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iftyglobal-my.sharepoint.com/personal/mohammad_hidayathullah_swifty_global/Documents/Desktop/Hidayath/Swifty Finance (Shared San &amp; Hid)/DRCR Group/YAO Entertainment NV/Financial breakdown/"/>
    </mc:Choice>
  </mc:AlternateContent>
  <xr:revisionPtr revIDLastSave="994" documentId="13_ncr:1_{B0967421-921A-442F-9B3B-1AB8D39ABD9C}" xr6:coauthVersionLast="47" xr6:coauthVersionMax="47" xr10:uidLastSave="{D93184E3-EBA4-4762-8E25-555E330A4508}"/>
  <bookViews>
    <workbookView xWindow="-108" yWindow="-108" windowWidth="23256" windowHeight="12456" firstSheet="1" activeTab="6" xr2:uid="{2B8C4B01-1E3E-D849-9337-3698327D02B8}"/>
  </bookViews>
  <sheets>
    <sheet name="Annual Review" sheetId="5" state="hidden" r:id="rId1"/>
    <sheet name="B2C" sheetId="6" r:id="rId2"/>
    <sheet name="B1" sheetId="4" state="hidden" r:id="rId3"/>
    <sheet name="Manage Services" sheetId="1" state="hidden" r:id="rId4"/>
    <sheet name="B2B Old" sheetId="2" state="hidden" r:id="rId5"/>
    <sheet name="B2B" sheetId="7" r:id="rId6"/>
    <sheet name="Expense breakdown" sheetId="8" r:id="rId7"/>
    <sheet name="Archived" sheetId="3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4" i="8" l="1"/>
  <c r="F173" i="8"/>
  <c r="F175" i="8"/>
  <c r="O238" i="8" l="1"/>
  <c r="N238" i="8"/>
  <c r="M238" i="8"/>
  <c r="L238" i="8"/>
  <c r="K238" i="8"/>
  <c r="J238" i="8"/>
  <c r="I238" i="8"/>
  <c r="H238" i="8"/>
  <c r="G238" i="8"/>
  <c r="F238" i="8"/>
  <c r="I20" i="6" s="1"/>
  <c r="E238" i="8"/>
  <c r="F20" i="6" s="1"/>
  <c r="D238" i="8"/>
  <c r="C20" i="6" s="1"/>
  <c r="P235" i="8"/>
  <c r="P234" i="8"/>
  <c r="O257" i="8"/>
  <c r="N257" i="8"/>
  <c r="M257" i="8"/>
  <c r="L257" i="8"/>
  <c r="K257" i="8"/>
  <c r="J257" i="8"/>
  <c r="I257" i="8"/>
  <c r="H257" i="8"/>
  <c r="G257" i="8"/>
  <c r="E257" i="8"/>
  <c r="F21" i="6" s="1"/>
  <c r="D257" i="8"/>
  <c r="C21" i="6" s="1"/>
  <c r="P254" i="8"/>
  <c r="P253" i="8"/>
  <c r="O247" i="8"/>
  <c r="N247" i="8"/>
  <c r="M247" i="8"/>
  <c r="L247" i="8"/>
  <c r="K247" i="8"/>
  <c r="J247" i="8"/>
  <c r="I247" i="8"/>
  <c r="H247" i="8"/>
  <c r="G247" i="8"/>
  <c r="E244" i="8"/>
  <c r="D244" i="8"/>
  <c r="D247" i="8" s="1"/>
  <c r="D248" i="8" s="1"/>
  <c r="D21" i="6" s="1"/>
  <c r="F243" i="8"/>
  <c r="F247" i="8" s="1"/>
  <c r="F248" i="8" s="1"/>
  <c r="J21" i="6" s="1"/>
  <c r="E243" i="8"/>
  <c r="P238" i="8" l="1"/>
  <c r="P257" i="8"/>
  <c r="F257" i="8"/>
  <c r="I21" i="6" s="1"/>
  <c r="E247" i="8"/>
  <c r="E248" i="8" s="1"/>
  <c r="G21" i="6" s="1"/>
  <c r="O248" i="8" l="1"/>
  <c r="N248" i="8"/>
  <c r="M248" i="8"/>
  <c r="L248" i="8"/>
  <c r="K248" i="8"/>
  <c r="J248" i="8"/>
  <c r="I248" i="8"/>
  <c r="H248" i="8"/>
  <c r="G248" i="8"/>
  <c r="P246" i="8"/>
  <c r="P245" i="8"/>
  <c r="P244" i="8"/>
  <c r="F262" i="8"/>
  <c r="P243" i="8" l="1"/>
  <c r="P248" i="8" l="1"/>
  <c r="P247" i="8"/>
  <c r="O207" i="8" l="1"/>
  <c r="N207" i="8"/>
  <c r="M207" i="8"/>
  <c r="L207" i="8"/>
  <c r="K207" i="8"/>
  <c r="J207" i="8"/>
  <c r="I207" i="8"/>
  <c r="H207" i="8"/>
  <c r="G207" i="8"/>
  <c r="P206" i="8"/>
  <c r="F207" i="8"/>
  <c r="I19" i="6" s="1"/>
  <c r="E207" i="8"/>
  <c r="F19" i="6" s="1"/>
  <c r="D207" i="8"/>
  <c r="C19" i="6" s="1"/>
  <c r="F197" i="8"/>
  <c r="F199" i="8" s="1"/>
  <c r="J19" i="6" s="1"/>
  <c r="E197" i="8"/>
  <c r="D197" i="8"/>
  <c r="D199" i="8" s="1"/>
  <c r="D19" i="6" s="1"/>
  <c r="O199" i="8"/>
  <c r="N199" i="8"/>
  <c r="M199" i="8"/>
  <c r="L199" i="8"/>
  <c r="K199" i="8"/>
  <c r="J199" i="8"/>
  <c r="I199" i="8"/>
  <c r="H199" i="8"/>
  <c r="G199" i="8"/>
  <c r="P198" i="8"/>
  <c r="E25" i="7"/>
  <c r="D25" i="7"/>
  <c r="C25" i="7"/>
  <c r="E24" i="7"/>
  <c r="D24" i="7"/>
  <c r="C24" i="7"/>
  <c r="E23" i="7"/>
  <c r="D23" i="7"/>
  <c r="C23" i="7"/>
  <c r="E22" i="7"/>
  <c r="D22" i="7"/>
  <c r="C22" i="7"/>
  <c r="E21" i="7"/>
  <c r="D21" i="7"/>
  <c r="C21" i="7"/>
  <c r="E16" i="7"/>
  <c r="D16" i="7"/>
  <c r="C16" i="7"/>
  <c r="E15" i="7"/>
  <c r="D15" i="7"/>
  <c r="C15" i="7"/>
  <c r="E14" i="7"/>
  <c r="D14" i="7"/>
  <c r="C14" i="7"/>
  <c r="E13" i="7"/>
  <c r="D13" i="7"/>
  <c r="C13" i="7"/>
  <c r="F54" i="8"/>
  <c r="E54" i="8"/>
  <c r="P48" i="8"/>
  <c r="O54" i="8"/>
  <c r="N54" i="8"/>
  <c r="M54" i="8"/>
  <c r="L54" i="8"/>
  <c r="K54" i="8"/>
  <c r="J54" i="8"/>
  <c r="I54" i="8"/>
  <c r="H54" i="8"/>
  <c r="G54" i="8"/>
  <c r="P53" i="8"/>
  <c r="P49" i="8"/>
  <c r="P47" i="8"/>
  <c r="P46" i="8"/>
  <c r="P45" i="8"/>
  <c r="P44" i="8"/>
  <c r="F304" i="8"/>
  <c r="F303" i="8"/>
  <c r="F305" i="8"/>
  <c r="F301" i="8"/>
  <c r="F326" i="8"/>
  <c r="F300" i="8"/>
  <c r="P204" i="8" l="1"/>
  <c r="P207" i="8" s="1"/>
  <c r="P197" i="8"/>
  <c r="P199" i="8" s="1"/>
  <c r="E199" i="8"/>
  <c r="G19" i="6" s="1"/>
  <c r="P54" i="8"/>
  <c r="D54" i="8"/>
  <c r="E19" i="7"/>
  <c r="C19" i="7"/>
  <c r="E179" i="8"/>
  <c r="D179" i="8"/>
  <c r="F324" i="8"/>
  <c r="P324" i="8" s="1"/>
  <c r="E326" i="8"/>
  <c r="P326" i="8" s="1"/>
  <c r="P327" i="8"/>
  <c r="D328" i="8"/>
  <c r="O328" i="8"/>
  <c r="N328" i="8"/>
  <c r="M328" i="8"/>
  <c r="L328" i="8"/>
  <c r="K328" i="8"/>
  <c r="J328" i="8"/>
  <c r="I328" i="8"/>
  <c r="H328" i="8"/>
  <c r="G328" i="8"/>
  <c r="P305" i="8"/>
  <c r="K9" i="6"/>
  <c r="K8" i="6"/>
  <c r="H9" i="6"/>
  <c r="H8" i="6"/>
  <c r="D19" i="7" l="1"/>
  <c r="F179" i="8"/>
  <c r="E328" i="8"/>
  <c r="F328" i="8"/>
  <c r="P328" i="8"/>
  <c r="E312" i="8" l="1"/>
  <c r="E315" i="8"/>
  <c r="E316" i="8"/>
  <c r="E317" i="8"/>
  <c r="F312" i="8"/>
  <c r="F177" i="8" s="1"/>
  <c r="F315" i="8"/>
  <c r="F316" i="8"/>
  <c r="F178" i="8"/>
  <c r="F176" i="8"/>
  <c r="F161" i="8"/>
  <c r="E18" i="7"/>
  <c r="F317" i="8"/>
  <c r="E20" i="7" s="1"/>
  <c r="F163" i="8"/>
  <c r="F162" i="8"/>
  <c r="F165" i="8"/>
  <c r="F227" i="8" l="1"/>
  <c r="F153" i="8"/>
  <c r="P153" i="8" s="1"/>
  <c r="F270" i="8"/>
  <c r="K21" i="6"/>
  <c r="D272" i="8"/>
  <c r="E272" i="8"/>
  <c r="F272" i="8" l="1"/>
  <c r="P30" i="8"/>
  <c r="P31" i="8"/>
  <c r="P32" i="8"/>
  <c r="P33" i="8"/>
  <c r="P34" i="8"/>
  <c r="P35" i="8"/>
  <c r="P36" i="8"/>
  <c r="E8" i="7"/>
  <c r="E7" i="7"/>
  <c r="E6" i="7"/>
  <c r="F282" i="8" l="1"/>
  <c r="F115" i="8"/>
  <c r="P116" i="8"/>
  <c r="P117" i="8"/>
  <c r="P118" i="8"/>
  <c r="P119" i="8"/>
  <c r="F120" i="8"/>
  <c r="P120" i="8" s="1"/>
  <c r="F172" i="8"/>
  <c r="P164" i="8"/>
  <c r="F152" i="8"/>
  <c r="P152" i="8" s="1"/>
  <c r="F148" i="8"/>
  <c r="K19" i="6"/>
  <c r="J9" i="6"/>
  <c r="J8" i="6"/>
  <c r="F155" i="8" l="1"/>
  <c r="E17" i="7" l="1"/>
  <c r="I11" i="6" l="1"/>
  <c r="J11" i="6"/>
  <c r="H19" i="6"/>
  <c r="K11" i="6" l="1"/>
  <c r="E163" i="8"/>
  <c r="E162" i="8"/>
  <c r="E161" i="8"/>
  <c r="P67" i="8"/>
  <c r="E227" i="8" l="1"/>
  <c r="D227" i="8"/>
  <c r="E270" i="8"/>
  <c r="H21" i="6"/>
  <c r="E38" i="8"/>
  <c r="D18" i="7" l="1"/>
  <c r="D17" i="7"/>
  <c r="E178" i="8"/>
  <c r="E176" i="8"/>
  <c r="E174" i="8"/>
  <c r="E173" i="8"/>
  <c r="E175" i="8"/>
  <c r="E172" i="8"/>
  <c r="E177" i="8"/>
  <c r="E115" i="8"/>
  <c r="E151" i="8"/>
  <c r="P151" i="8" s="1"/>
  <c r="E148" i="8"/>
  <c r="G9" i="6"/>
  <c r="G8" i="6"/>
  <c r="D20" i="7" l="1"/>
  <c r="O319" i="8"/>
  <c r="N319" i="8"/>
  <c r="M319" i="8"/>
  <c r="L319" i="8"/>
  <c r="K319" i="8"/>
  <c r="J319" i="8"/>
  <c r="I319" i="8"/>
  <c r="H319" i="8"/>
  <c r="G319" i="8"/>
  <c r="F319" i="8"/>
  <c r="E319" i="8"/>
  <c r="D319" i="8"/>
  <c r="O307" i="8"/>
  <c r="N307" i="8"/>
  <c r="M307" i="8"/>
  <c r="L307" i="8"/>
  <c r="K307" i="8"/>
  <c r="J307" i="8"/>
  <c r="I307" i="8"/>
  <c r="H307" i="8"/>
  <c r="G307" i="8"/>
  <c r="F307" i="8"/>
  <c r="E307" i="8"/>
  <c r="D307" i="8"/>
  <c r="O295" i="8"/>
  <c r="N295" i="8"/>
  <c r="M295" i="8"/>
  <c r="L295" i="8"/>
  <c r="K295" i="8"/>
  <c r="J295" i="8"/>
  <c r="I295" i="8"/>
  <c r="H295" i="8"/>
  <c r="G295" i="8"/>
  <c r="F295" i="8"/>
  <c r="E295" i="8"/>
  <c r="D295" i="8"/>
  <c r="O284" i="8"/>
  <c r="N284" i="8"/>
  <c r="M284" i="8"/>
  <c r="L284" i="8"/>
  <c r="K284" i="8"/>
  <c r="J284" i="8"/>
  <c r="I284" i="8"/>
  <c r="H284" i="8"/>
  <c r="G284" i="8"/>
  <c r="F284" i="8"/>
  <c r="J22" i="6" s="1"/>
  <c r="K22" i="6" s="1"/>
  <c r="E284" i="8"/>
  <c r="G22" i="6" s="1"/>
  <c r="H22" i="6" s="1"/>
  <c r="O274" i="8"/>
  <c r="N274" i="8"/>
  <c r="M274" i="8"/>
  <c r="L274" i="8"/>
  <c r="K274" i="8"/>
  <c r="J274" i="8"/>
  <c r="I274" i="8"/>
  <c r="H274" i="8"/>
  <c r="G274" i="8"/>
  <c r="F274" i="8"/>
  <c r="J23" i="6" s="1"/>
  <c r="E274" i="8"/>
  <c r="G23" i="6" s="1"/>
  <c r="O265" i="8"/>
  <c r="N265" i="8"/>
  <c r="M265" i="8"/>
  <c r="L265" i="8"/>
  <c r="K265" i="8"/>
  <c r="J265" i="8"/>
  <c r="I265" i="8"/>
  <c r="H265" i="8"/>
  <c r="G265" i="8"/>
  <c r="F265" i="8"/>
  <c r="I23" i="6" s="1"/>
  <c r="E265" i="8"/>
  <c r="F23" i="6" s="1"/>
  <c r="D265" i="8"/>
  <c r="O229" i="8"/>
  <c r="N229" i="8"/>
  <c r="M229" i="8"/>
  <c r="L229" i="8"/>
  <c r="K229" i="8"/>
  <c r="J229" i="8"/>
  <c r="I229" i="8"/>
  <c r="H229" i="8"/>
  <c r="G229" i="8"/>
  <c r="F229" i="8"/>
  <c r="J20" i="6" s="1"/>
  <c r="K20" i="6" s="1"/>
  <c r="E229" i="8"/>
  <c r="G20" i="6" s="1"/>
  <c r="H20" i="6" s="1"/>
  <c r="D229" i="8"/>
  <c r="D20" i="6" s="1"/>
  <c r="O192" i="8"/>
  <c r="N192" i="8"/>
  <c r="M192" i="8"/>
  <c r="L192" i="8"/>
  <c r="K192" i="8"/>
  <c r="J192" i="8"/>
  <c r="I192" i="8"/>
  <c r="H192" i="8"/>
  <c r="G192" i="8"/>
  <c r="F192" i="8"/>
  <c r="J18" i="6" s="1"/>
  <c r="K18" i="6" s="1"/>
  <c r="E192" i="8"/>
  <c r="G18" i="6" s="1"/>
  <c r="H18" i="6" s="1"/>
  <c r="D192" i="8"/>
  <c r="D18" i="6" s="1"/>
  <c r="E18" i="6" s="1"/>
  <c r="O182" i="8"/>
  <c r="N182" i="8"/>
  <c r="M182" i="8"/>
  <c r="L182" i="8"/>
  <c r="K182" i="8"/>
  <c r="J182" i="8"/>
  <c r="I182" i="8"/>
  <c r="H182" i="8"/>
  <c r="G182" i="8"/>
  <c r="F182" i="8"/>
  <c r="J17" i="6" s="1"/>
  <c r="E182" i="8"/>
  <c r="G17" i="6" s="1"/>
  <c r="O167" i="8"/>
  <c r="N167" i="8"/>
  <c r="M167" i="8"/>
  <c r="L167" i="8"/>
  <c r="K167" i="8"/>
  <c r="J167" i="8"/>
  <c r="I167" i="8"/>
  <c r="H167" i="8"/>
  <c r="G167" i="8"/>
  <c r="F167" i="8"/>
  <c r="I17" i="6" s="1"/>
  <c r="E167" i="8"/>
  <c r="F17" i="6" s="1"/>
  <c r="O155" i="8"/>
  <c r="N155" i="8"/>
  <c r="M155" i="8"/>
  <c r="L155" i="8"/>
  <c r="K155" i="8"/>
  <c r="J155" i="8"/>
  <c r="I155" i="8"/>
  <c r="H155" i="8"/>
  <c r="G155" i="8"/>
  <c r="J16" i="6"/>
  <c r="E155" i="8"/>
  <c r="G16" i="6" s="1"/>
  <c r="P142" i="8"/>
  <c r="O143" i="8"/>
  <c r="N143" i="8"/>
  <c r="M143" i="8"/>
  <c r="L143" i="8"/>
  <c r="K143" i="8"/>
  <c r="J143" i="8"/>
  <c r="I143" i="8"/>
  <c r="H143" i="8"/>
  <c r="G143" i="8"/>
  <c r="F143" i="8"/>
  <c r="I16" i="6" s="1"/>
  <c r="E143" i="8"/>
  <c r="F16" i="6" s="1"/>
  <c r="D143" i="8"/>
  <c r="P132" i="8"/>
  <c r="O133" i="8"/>
  <c r="N133" i="8"/>
  <c r="M133" i="8"/>
  <c r="L133" i="8"/>
  <c r="K133" i="8"/>
  <c r="J133" i="8"/>
  <c r="I133" i="8"/>
  <c r="H133" i="8"/>
  <c r="G133" i="8"/>
  <c r="F133" i="8"/>
  <c r="I15" i="6" s="1"/>
  <c r="E133" i="8"/>
  <c r="F15" i="6" s="1"/>
  <c r="D133" i="8"/>
  <c r="P114" i="8"/>
  <c r="O122" i="8"/>
  <c r="N122" i="8"/>
  <c r="M122" i="8"/>
  <c r="L122" i="8"/>
  <c r="K122" i="8"/>
  <c r="J122" i="8"/>
  <c r="I122" i="8"/>
  <c r="H122" i="8"/>
  <c r="G122" i="8"/>
  <c r="F122" i="8"/>
  <c r="J15" i="6" s="1"/>
  <c r="E122" i="8"/>
  <c r="G15" i="6" s="1"/>
  <c r="P93" i="8"/>
  <c r="O94" i="8"/>
  <c r="O95" i="8" s="1"/>
  <c r="N94" i="8"/>
  <c r="N95" i="8" s="1"/>
  <c r="M94" i="8"/>
  <c r="M95" i="8" s="1"/>
  <c r="L94" i="8"/>
  <c r="L95" i="8" s="1"/>
  <c r="K94" i="8"/>
  <c r="K95" i="8" s="1"/>
  <c r="J94" i="8"/>
  <c r="J95" i="8" s="1"/>
  <c r="I94" i="8"/>
  <c r="I95" i="8" s="1"/>
  <c r="H94" i="8"/>
  <c r="H95" i="8" s="1"/>
  <c r="G94" i="8"/>
  <c r="G95" i="8" s="1"/>
  <c r="F94" i="8"/>
  <c r="F95" i="8" s="1"/>
  <c r="E94" i="8"/>
  <c r="E95" i="8" s="1"/>
  <c r="D94" i="8"/>
  <c r="D95" i="8" s="1"/>
  <c r="O83" i="8"/>
  <c r="N83" i="8"/>
  <c r="M83" i="8"/>
  <c r="L83" i="8"/>
  <c r="K83" i="8"/>
  <c r="J83" i="8"/>
  <c r="I83" i="8"/>
  <c r="H83" i="8"/>
  <c r="G83" i="8"/>
  <c r="F83" i="8"/>
  <c r="E83" i="8"/>
  <c r="O69" i="8"/>
  <c r="N69" i="8"/>
  <c r="M69" i="8"/>
  <c r="L69" i="8"/>
  <c r="K69" i="8"/>
  <c r="J69" i="8"/>
  <c r="I69" i="8"/>
  <c r="H69" i="8"/>
  <c r="G69" i="8"/>
  <c r="F69" i="8"/>
  <c r="I14" i="6" s="1"/>
  <c r="E69" i="8"/>
  <c r="F14" i="6" s="1"/>
  <c r="D69" i="8"/>
  <c r="O38" i="8"/>
  <c r="N38" i="8"/>
  <c r="M38" i="8"/>
  <c r="L38" i="8"/>
  <c r="K38" i="8"/>
  <c r="J38" i="8"/>
  <c r="I38" i="8"/>
  <c r="H38" i="8"/>
  <c r="G38" i="8"/>
  <c r="F38" i="8"/>
  <c r="F39" i="8" s="1"/>
  <c r="E39" i="8"/>
  <c r="D26" i="7" s="1"/>
  <c r="P166" i="8"/>
  <c r="P225" i="8"/>
  <c r="P224" i="8"/>
  <c r="P220" i="8"/>
  <c r="P219" i="8"/>
  <c r="P218" i="8"/>
  <c r="P217" i="8"/>
  <c r="P216" i="8"/>
  <c r="P215" i="8"/>
  <c r="P214" i="8"/>
  <c r="P180" i="8"/>
  <c r="P190" i="8"/>
  <c r="P189" i="8"/>
  <c r="K16" i="6" l="1"/>
  <c r="K15" i="6"/>
  <c r="K17" i="6"/>
  <c r="H17" i="6"/>
  <c r="K23" i="6"/>
  <c r="H15" i="6"/>
  <c r="H16" i="6"/>
  <c r="H23" i="6"/>
  <c r="I25" i="6"/>
  <c r="I27" i="6" s="1"/>
  <c r="J14" i="6"/>
  <c r="K14" i="6" s="1"/>
  <c r="P95" i="8"/>
  <c r="G14" i="6"/>
  <c r="H14" i="6" s="1"/>
  <c r="P228" i="8"/>
  <c r="P213" i="8"/>
  <c r="P212" i="8"/>
  <c r="D271" i="8"/>
  <c r="P191" i="8"/>
  <c r="P188" i="8"/>
  <c r="J25" i="6" l="1"/>
  <c r="J27" i="6" s="1"/>
  <c r="K25" i="6"/>
  <c r="K27" i="6" s="1"/>
  <c r="P229" i="8"/>
  <c r="P187" i="8"/>
  <c r="P192" i="8" s="1"/>
  <c r="D76" i="8" l="1"/>
  <c r="D75" i="8"/>
  <c r="D74" i="8"/>
  <c r="D83" i="8" l="1"/>
  <c r="D6" i="7"/>
  <c r="D8" i="7"/>
  <c r="D7" i="7"/>
  <c r="C6" i="7"/>
  <c r="P179" i="8"/>
  <c r="D178" i="8"/>
  <c r="P178" i="8" s="1"/>
  <c r="D163" i="8" l="1"/>
  <c r="C18" i="7"/>
  <c r="P163" i="8" l="1"/>
  <c r="P165" i="8"/>
  <c r="D162" i="8"/>
  <c r="P162" i="8" s="1"/>
  <c r="D177" i="8"/>
  <c r="P177" i="8" s="1"/>
  <c r="C20" i="7"/>
  <c r="P317" i="8"/>
  <c r="P318" i="8"/>
  <c r="P316" i="8"/>
  <c r="P315" i="8"/>
  <c r="P313" i="8"/>
  <c r="P312" i="8"/>
  <c r="P306" i="8"/>
  <c r="P304" i="8"/>
  <c r="P303" i="8"/>
  <c r="P301" i="8"/>
  <c r="P300" i="8"/>
  <c r="P290" i="8"/>
  <c r="P291" i="8"/>
  <c r="P292" i="8"/>
  <c r="P293" i="8"/>
  <c r="D176" i="8"/>
  <c r="P176" i="8" s="1"/>
  <c r="D161" i="8"/>
  <c r="C17" i="7"/>
  <c r="P294" i="8"/>
  <c r="P289" i="8"/>
  <c r="P77" i="8"/>
  <c r="P78" i="8"/>
  <c r="P79" i="8"/>
  <c r="G25" i="6"/>
  <c r="F11" i="6"/>
  <c r="H11" i="6"/>
  <c r="P319" i="8" l="1"/>
  <c r="P295" i="8"/>
  <c r="P307" i="8"/>
  <c r="P161" i="8"/>
  <c r="D167" i="8"/>
  <c r="C17" i="6" s="1"/>
  <c r="H25" i="6"/>
  <c r="H27" i="6" s="1"/>
  <c r="G11" i="6"/>
  <c r="G27" i="6" s="1"/>
  <c r="F25" i="6"/>
  <c r="F27" i="6" s="1"/>
  <c r="O20" i="7"/>
  <c r="E9" i="6"/>
  <c r="E8" i="6"/>
  <c r="E19" i="6"/>
  <c r="P281" i="8"/>
  <c r="D282" i="8"/>
  <c r="D115" i="8"/>
  <c r="E20" i="6"/>
  <c r="D175" i="8"/>
  <c r="P175" i="8" s="1"/>
  <c r="D174" i="8"/>
  <c r="P174" i="8" s="1"/>
  <c r="D173" i="8"/>
  <c r="P173" i="8" s="1"/>
  <c r="D172" i="8"/>
  <c r="P181" i="8"/>
  <c r="D150" i="8"/>
  <c r="P150" i="8" s="1"/>
  <c r="D148" i="8"/>
  <c r="P154" i="8"/>
  <c r="P149" i="8"/>
  <c r="D9" i="6"/>
  <c r="D8" i="6"/>
  <c r="D270" i="8"/>
  <c r="E21" i="6"/>
  <c r="P283" i="8"/>
  <c r="P280" i="8"/>
  <c r="P279" i="8"/>
  <c r="P273" i="8"/>
  <c r="P271" i="8"/>
  <c r="C23" i="6"/>
  <c r="P263" i="8"/>
  <c r="P262" i="8"/>
  <c r="P160" i="8"/>
  <c r="C16" i="6"/>
  <c r="P140" i="8"/>
  <c r="P139" i="8"/>
  <c r="P138" i="8"/>
  <c r="C15" i="6"/>
  <c r="P130" i="8"/>
  <c r="P129" i="8"/>
  <c r="P128" i="8"/>
  <c r="P127" i="8"/>
  <c r="P66" i="8"/>
  <c r="P103" i="8"/>
  <c r="P104" i="8"/>
  <c r="P105" i="8"/>
  <c r="P106" i="8"/>
  <c r="P107" i="8"/>
  <c r="P108" i="8"/>
  <c r="P109" i="8"/>
  <c r="P110" i="8"/>
  <c r="P111" i="8"/>
  <c r="P112" i="8"/>
  <c r="P113" i="8"/>
  <c r="P121" i="8"/>
  <c r="P102" i="8"/>
  <c r="P101" i="8"/>
  <c r="P100" i="8"/>
  <c r="P92" i="8"/>
  <c r="P91" i="8"/>
  <c r="P90" i="8"/>
  <c r="P89" i="8"/>
  <c r="P88" i="8"/>
  <c r="P82" i="8"/>
  <c r="P76" i="8"/>
  <c r="P75" i="8"/>
  <c r="P74" i="8"/>
  <c r="C14" i="6"/>
  <c r="P68" i="8"/>
  <c r="P65" i="8"/>
  <c r="P64" i="8"/>
  <c r="P63" i="8"/>
  <c r="P62" i="8"/>
  <c r="P61" i="8"/>
  <c r="P60" i="8"/>
  <c r="P59" i="8"/>
  <c r="E9" i="4"/>
  <c r="E10" i="4" s="1"/>
  <c r="E99" i="4" s="1"/>
  <c r="E97" i="4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D38" i="8"/>
  <c r="D39" i="8" s="1"/>
  <c r="O39" i="8"/>
  <c r="N39" i="8"/>
  <c r="M39" i="8"/>
  <c r="L39" i="8"/>
  <c r="K39" i="8"/>
  <c r="J39" i="8"/>
  <c r="I39" i="8"/>
  <c r="H39" i="8"/>
  <c r="G39" i="8"/>
  <c r="E26" i="7"/>
  <c r="P37" i="8"/>
  <c r="P6" i="8"/>
  <c r="P5" i="8"/>
  <c r="O25" i="7"/>
  <c r="O24" i="7"/>
  <c r="O23" i="7"/>
  <c r="O22" i="7"/>
  <c r="O21" i="7"/>
  <c r="P265" i="8" l="1"/>
  <c r="P167" i="8"/>
  <c r="P83" i="8"/>
  <c r="P143" i="8"/>
  <c r="P94" i="8"/>
  <c r="P133" i="8"/>
  <c r="P69" i="8"/>
  <c r="P115" i="8"/>
  <c r="P122" i="8" s="1"/>
  <c r="D122" i="8"/>
  <c r="D15" i="6" s="1"/>
  <c r="P282" i="8"/>
  <c r="P284" i="8" s="1"/>
  <c r="D284" i="8"/>
  <c r="D22" i="6" s="1"/>
  <c r="E22" i="6" s="1"/>
  <c r="P38" i="8"/>
  <c r="P148" i="8"/>
  <c r="P155" i="8" s="1"/>
  <c r="D155" i="8"/>
  <c r="D16" i="6" s="1"/>
  <c r="E16" i="6" s="1"/>
  <c r="D182" i="8"/>
  <c r="P270" i="8"/>
  <c r="D274" i="8"/>
  <c r="D23" i="6" s="1"/>
  <c r="E23" i="6" s="1"/>
  <c r="P172" i="8"/>
  <c r="P182" i="8" s="1"/>
  <c r="E11" i="6"/>
  <c r="D11" i="6"/>
  <c r="P272" i="8"/>
  <c r="D14" i="6"/>
  <c r="E14" i="6" s="1"/>
  <c r="P39" i="8"/>
  <c r="C26" i="7"/>
  <c r="O26" i="7" s="1"/>
  <c r="C11" i="6"/>
  <c r="C25" i="6"/>
  <c r="O18" i="7"/>
  <c r="P274" i="8" l="1"/>
  <c r="E15" i="6"/>
  <c r="D17" i="6"/>
  <c r="E17" i="6" s="1"/>
  <c r="C27" i="6"/>
  <c r="E25" i="6" l="1"/>
  <c r="E27" i="6" s="1"/>
  <c r="D25" i="6"/>
  <c r="D27" i="6" s="1"/>
  <c r="C8" i="7" l="1"/>
  <c r="O8" i="7" s="1"/>
  <c r="C7" i="7"/>
  <c r="O7" i="7" s="1"/>
  <c r="P27" i="7"/>
  <c r="P14" i="7"/>
  <c r="P13" i="7"/>
  <c r="N10" i="7"/>
  <c r="C8" i="1"/>
  <c r="D23" i="4"/>
  <c r="D97" i="4" s="1"/>
  <c r="D99" i="4" s="1"/>
  <c r="B16" i="2"/>
  <c r="B19" i="1"/>
  <c r="C97" i="4"/>
  <c r="C99" i="4" s="1"/>
  <c r="B73" i="4"/>
  <c r="B62" i="4"/>
  <c r="B20" i="4"/>
  <c r="B97" i="4" s="1"/>
  <c r="C10" i="4"/>
  <c r="B10" i="4"/>
  <c r="C32" i="3"/>
  <c r="C30" i="3"/>
  <c r="C26" i="3"/>
  <c r="C21" i="3"/>
  <c r="C15" i="3"/>
  <c r="C13" i="3"/>
  <c r="C7" i="3"/>
  <c r="C3" i="3"/>
  <c r="B13" i="2"/>
  <c r="B8" i="1"/>
  <c r="B7" i="2"/>
  <c r="O6" i="7" l="1"/>
  <c r="C10" i="7"/>
  <c r="L10" i="7"/>
  <c r="I10" i="7"/>
  <c r="D10" i="7"/>
  <c r="M10" i="7"/>
  <c r="J28" i="7"/>
  <c r="F10" i="7"/>
  <c r="K10" i="7"/>
  <c r="E10" i="7"/>
  <c r="G10" i="7"/>
  <c r="M28" i="7"/>
  <c r="K28" i="7"/>
  <c r="K30" i="7" s="1"/>
  <c r="L28" i="7"/>
  <c r="L30" i="7" s="1"/>
  <c r="H10" i="7"/>
  <c r="O15" i="7"/>
  <c r="N28" i="7"/>
  <c r="N30" i="7" s="1"/>
  <c r="J10" i="7"/>
  <c r="O27" i="7"/>
  <c r="Q27" i="7" s="1"/>
  <c r="O13" i="7"/>
  <c r="Q13" i="7" s="1"/>
  <c r="D28" i="7"/>
  <c r="O14" i="7"/>
  <c r="Q14" i="7" s="1"/>
  <c r="F28" i="7"/>
  <c r="O17" i="7"/>
  <c r="G28" i="7"/>
  <c r="E28" i="7"/>
  <c r="H28" i="7"/>
  <c r="I28" i="7"/>
  <c r="O16" i="7"/>
  <c r="C28" i="7"/>
  <c r="B99" i="4"/>
  <c r="J30" i="7" l="1"/>
  <c r="I30" i="7"/>
  <c r="M30" i="7"/>
  <c r="G30" i="7"/>
  <c r="D30" i="7"/>
  <c r="F30" i="7"/>
  <c r="H30" i="7"/>
  <c r="E30" i="7"/>
  <c r="C30" i="7"/>
  <c r="O28" i="7"/>
  <c r="O10" i="7"/>
  <c r="O30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tc={F5311441-AD0A-4238-A096-D294CD5BA8E6}</author>
    <author>tc={0C2ED314-27BD-40E4-BC47-26E478564886}</author>
  </authors>
  <commentList>
    <comment ref="C25" authorId="0" shapeId="0" xr:uid="{F5311441-AD0A-4238-A096-D294CD5BA8E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EUR 5K we pay every month in USDC.</t>
      </text>
    </comment>
    <comment ref="C26" authorId="1" shapeId="0" xr:uid="{0C2ED314-27BD-40E4-BC47-26E4785648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review the Expense Breakdown sheet and highlight any expenses that should be moved to B2C.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tc={921E8E67-361C-4E74-B5DC-603C0371315F}</author>
    <author>tc={03AA1AFD-6758-4F73-A780-92A6084CEF77}</author>
  </authors>
  <commentList>
    <comment ref="F165" authorId="0" shapeId="0" xr:uid="{921E8E67-361C-4E74-B5DC-603C0371315F}">
      <text>
        <t>[Threaded comment]
Your version of Excel allows you to read this threaded comment; however, any edits to it will get removed if the file is opened in a newer version of Excel. Learn more: https://go.microsoft.com/fwlink/?linkid=870924
Comment:
    R 12.6K expensed on office renovation.</t>
      </text>
    </comment>
    <comment ref="F262" authorId="1" shapeId="0" xr:uid="{03AA1AFD-6758-4F73-A780-92A6084CEF77}">
      <text>
        <t>[Threaded comment]
Your version of Excel allows you to read this threaded comment; however, any edits to it will get removed if the file is opened in a newer version of Excel. Learn more: https://go.microsoft.com/fwlink/?linkid=870924
Comment:
    R 5300 for 2024 &amp; 2025 FS filing</t>
      </text>
    </comment>
  </commentList>
</comments>
</file>

<file path=xl/sharedStrings.xml><?xml version="1.0" encoding="utf-8"?>
<sst xmlns="http://schemas.openxmlformats.org/spreadsheetml/2006/main" count="840" uniqueCount="330">
  <si>
    <t>Revenue</t>
  </si>
  <si>
    <t>Vickers</t>
  </si>
  <si>
    <t>TigerBet</t>
  </si>
  <si>
    <t>Swifty</t>
  </si>
  <si>
    <t>Resources</t>
  </si>
  <si>
    <t>Nick</t>
  </si>
  <si>
    <t>Jermaine</t>
  </si>
  <si>
    <t>Dan</t>
  </si>
  <si>
    <t>David</t>
  </si>
  <si>
    <t>Gaelle</t>
  </si>
  <si>
    <t>Christian</t>
  </si>
  <si>
    <t>Sam</t>
  </si>
  <si>
    <t>Gem</t>
  </si>
  <si>
    <t>Compliance</t>
  </si>
  <si>
    <t>Trading</t>
  </si>
  <si>
    <t>Customer Service</t>
  </si>
  <si>
    <t>Casino</t>
  </si>
  <si>
    <t>Rob</t>
  </si>
  <si>
    <t>Metabet</t>
  </si>
  <si>
    <t>Endrit</t>
  </si>
  <si>
    <t>Ndriqim</t>
  </si>
  <si>
    <t>Lukasz</t>
  </si>
  <si>
    <t>Chris</t>
  </si>
  <si>
    <t>Duran</t>
  </si>
  <si>
    <t>Kastriot</t>
  </si>
  <si>
    <t>Miran</t>
  </si>
  <si>
    <t>-</t>
  </si>
  <si>
    <t>Marcin</t>
  </si>
  <si>
    <t>Operations</t>
  </si>
  <si>
    <t>Shannon</t>
  </si>
  <si>
    <t>Jason</t>
  </si>
  <si>
    <t>Percey</t>
  </si>
  <si>
    <t>Logan</t>
  </si>
  <si>
    <t>Nolwazi</t>
  </si>
  <si>
    <t>Company X</t>
  </si>
  <si>
    <t>Dima</t>
  </si>
  <si>
    <t>Andrii</t>
  </si>
  <si>
    <t>Yllka</t>
  </si>
  <si>
    <t>Ardian</t>
  </si>
  <si>
    <t>Sheraida</t>
  </si>
  <si>
    <t>Erijon</t>
  </si>
  <si>
    <t>Adonis</t>
  </si>
  <si>
    <t>Siranyush</t>
  </si>
  <si>
    <t>Tav</t>
  </si>
  <si>
    <t>EUR</t>
  </si>
  <si>
    <t>Amount</t>
  </si>
  <si>
    <t>Currency</t>
  </si>
  <si>
    <t>GBP</t>
  </si>
  <si>
    <t>Finance</t>
  </si>
  <si>
    <t>Mohammad</t>
  </si>
  <si>
    <t>Graphics</t>
  </si>
  <si>
    <t>Alwyn</t>
  </si>
  <si>
    <t>Sandeep</t>
  </si>
  <si>
    <t>Omkar</t>
  </si>
  <si>
    <t>Affiliates</t>
  </si>
  <si>
    <t>Mitja</t>
  </si>
  <si>
    <t>Sifiso</t>
  </si>
  <si>
    <t>Ruben</t>
  </si>
  <si>
    <t>AWS</t>
  </si>
  <si>
    <t>EM</t>
  </si>
  <si>
    <t>PA</t>
  </si>
  <si>
    <t>RDR</t>
  </si>
  <si>
    <t>Bet Builder</t>
  </si>
  <si>
    <t>Staff</t>
  </si>
  <si>
    <t>Costs</t>
  </si>
  <si>
    <t>Swifty ZA</t>
  </si>
  <si>
    <t>Swifty Sports</t>
  </si>
  <si>
    <t>Swifty UK</t>
  </si>
  <si>
    <t>Trading Revenue</t>
  </si>
  <si>
    <t>GGR Sports</t>
  </si>
  <si>
    <t>GGR Casino</t>
  </si>
  <si>
    <t>Platform revenue</t>
  </si>
  <si>
    <t>Total revenue</t>
  </si>
  <si>
    <t>Expenses</t>
  </si>
  <si>
    <t>Agents Commission</t>
  </si>
  <si>
    <t>Affiliate expenses</t>
  </si>
  <si>
    <t>IGX Ltd (Ryan)</t>
  </si>
  <si>
    <t>Invendium Ltd</t>
  </si>
  <si>
    <t>NBK UK</t>
  </si>
  <si>
    <t>Betselect.co.uk</t>
  </si>
  <si>
    <t>Zealium Media</t>
  </si>
  <si>
    <t xml:space="preserve">Aliaksei Machulski </t>
  </si>
  <si>
    <t>Salaries &amp; Staff Expenses</t>
  </si>
  <si>
    <t>Software and Support services</t>
  </si>
  <si>
    <t>Lsports</t>
  </si>
  <si>
    <t>SIS</t>
  </si>
  <si>
    <t>Pragmatic play/ Tamaris</t>
  </si>
  <si>
    <t>Dama NV (Softswiss)</t>
  </si>
  <si>
    <t>ATR</t>
  </si>
  <si>
    <t>RMG</t>
  </si>
  <si>
    <t>Ecomaccess</t>
  </si>
  <si>
    <t>Laptops</t>
  </si>
  <si>
    <t>Timetastic</t>
  </si>
  <si>
    <t>Atlassian</t>
  </si>
  <si>
    <t>MicroSoft</t>
  </si>
  <si>
    <t>Adobe</t>
  </si>
  <si>
    <t xml:space="preserve">Chat GPT </t>
  </si>
  <si>
    <t>MongoDB</t>
  </si>
  <si>
    <t>Midjourney</t>
  </si>
  <si>
    <t>Customer.IO</t>
  </si>
  <si>
    <t>IPSTACK</t>
  </si>
  <si>
    <t>TWILIO</t>
  </si>
  <si>
    <t>DEEP IMAGE</t>
  </si>
  <si>
    <t>Heroku</t>
  </si>
  <si>
    <t>Quickbooks</t>
  </si>
  <si>
    <t>Square Space</t>
  </si>
  <si>
    <t>OXYLABS</t>
  </si>
  <si>
    <t>THERACINGAPI</t>
  </si>
  <si>
    <t>ENVATO</t>
  </si>
  <si>
    <t>UPTIMEROBOT</t>
  </si>
  <si>
    <t>SENDINBLUE</t>
  </si>
  <si>
    <t>Google One</t>
  </si>
  <si>
    <t>Turfsport</t>
  </si>
  <si>
    <t>I Store</t>
  </si>
  <si>
    <t>Bulletproof Solutions B.V.</t>
  </si>
  <si>
    <t>General</t>
  </si>
  <si>
    <t>Simply Works FZ LLC</t>
  </si>
  <si>
    <t>NXI Trading Limted</t>
  </si>
  <si>
    <t>Sum Subs</t>
  </si>
  <si>
    <t>Everymatrix</t>
  </si>
  <si>
    <t>Transunion</t>
  </si>
  <si>
    <t>Consultancy Service Exp</t>
  </si>
  <si>
    <t>Authentic Accurate Advice Accounting</t>
  </si>
  <si>
    <t>Pearl Legal Ltd</t>
  </si>
  <si>
    <t>Amber Gaming</t>
  </si>
  <si>
    <t>Marketing Exp</t>
  </si>
  <si>
    <t>Madabout Media</t>
  </si>
  <si>
    <t>Google</t>
  </si>
  <si>
    <t>Meta</t>
  </si>
  <si>
    <t>Titan Marketing</t>
  </si>
  <si>
    <t>Umlanga Signs</t>
  </si>
  <si>
    <t>Office expenses</t>
  </si>
  <si>
    <t xml:space="preserve">Master Locksmiths </t>
  </si>
  <si>
    <t>AMAZON</t>
  </si>
  <si>
    <t>Office Renovation</t>
  </si>
  <si>
    <t>Rent</t>
  </si>
  <si>
    <t>Communication expense</t>
  </si>
  <si>
    <t>Bank Charges</t>
  </si>
  <si>
    <t>Turnover tax</t>
  </si>
  <si>
    <t>General Betting Duty tax</t>
  </si>
  <si>
    <t>Gambling tax</t>
  </si>
  <si>
    <t>CDL Bonus</t>
  </si>
  <si>
    <t>License expense</t>
  </si>
  <si>
    <t>Exchange Gain or Loss</t>
  </si>
  <si>
    <t>Other Expense/(income)</t>
  </si>
  <si>
    <t>Total expenses</t>
  </si>
  <si>
    <t>GGR Sports IE</t>
  </si>
  <si>
    <t>GGR Casino IE</t>
  </si>
  <si>
    <t>ZAR to GBP</t>
  </si>
  <si>
    <t>Bonuses</t>
  </si>
  <si>
    <t>AED to GBP</t>
  </si>
  <si>
    <t>Platform</t>
  </si>
  <si>
    <t>Affiliate</t>
  </si>
  <si>
    <t>Total</t>
  </si>
  <si>
    <t>Swifty UK/IE</t>
  </si>
  <si>
    <t>Swifty B2B</t>
  </si>
  <si>
    <t>Platform Revenue</t>
  </si>
  <si>
    <t>Software Services</t>
  </si>
  <si>
    <t>Platform Services</t>
  </si>
  <si>
    <t>Podium</t>
  </si>
  <si>
    <t>NIXXE</t>
  </si>
  <si>
    <t>Sumsub</t>
  </si>
  <si>
    <t>C2B</t>
  </si>
  <si>
    <t>Dev</t>
  </si>
  <si>
    <t>Platform Cost</t>
  </si>
  <si>
    <t>Customer.io</t>
  </si>
  <si>
    <t>(figures in GBP)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</si>
  <si>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</si>
  <si>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</si>
  <si>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</si>
  <si>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</si>
  <si>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</si>
  <si>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</si>
  <si>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</si>
  <si>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</si>
  <si>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</si>
  <si>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</si>
  <si>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</si>
  <si>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</si>
  <si>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Reco</t>
  </si>
  <si>
    <t>Gaming Revenue</t>
  </si>
  <si>
    <t>Total Revenue</t>
  </si>
  <si>
    <t>Costs and expenses:</t>
  </si>
  <si>
    <t>Salaries</t>
  </si>
  <si>
    <t>Communications</t>
  </si>
  <si>
    <t>Hospitality expenses</t>
  </si>
  <si>
    <t>Total Expenses</t>
  </si>
  <si>
    <t>B2B - Fy.2026</t>
  </si>
  <si>
    <t>B2B sales revenue</t>
  </si>
  <si>
    <t>Noirvale/Tigerplay</t>
  </si>
  <si>
    <t>PA Media</t>
  </si>
  <si>
    <t>Pragmatic play</t>
  </si>
  <si>
    <t>NE Room</t>
  </si>
  <si>
    <t>Lusine</t>
  </si>
  <si>
    <t>Banda Pixels</t>
  </si>
  <si>
    <t>Data feeds/SportsR</t>
  </si>
  <si>
    <t>Sports</t>
  </si>
  <si>
    <t>JMP Payslips</t>
  </si>
  <si>
    <t>PADDLE.NET</t>
  </si>
  <si>
    <t>AM.NORD</t>
  </si>
  <si>
    <t>TINY TECHNOLOGIES</t>
  </si>
  <si>
    <t>MARCIN BECZYNSKI</t>
  </si>
  <si>
    <t>ILLUSTRATOR SAGGART</t>
  </si>
  <si>
    <t>CLAUDE.AI</t>
  </si>
  <si>
    <t>PAYPAL</t>
  </si>
  <si>
    <t>DECODO.COM</t>
  </si>
  <si>
    <t>PROTON</t>
  </si>
  <si>
    <t>Total in GBP</t>
  </si>
  <si>
    <t>Total in AED</t>
  </si>
  <si>
    <t>Swifty Africa</t>
  </si>
  <si>
    <t>B2C - Fy.2026</t>
  </si>
  <si>
    <t>Nixxe</t>
  </si>
  <si>
    <t>Swifty IE/UK</t>
  </si>
  <si>
    <t>Rubeshan</t>
  </si>
  <si>
    <t>Percy</t>
  </si>
  <si>
    <t>Total in ZAR</t>
  </si>
  <si>
    <t>Daniel Winterburn</t>
  </si>
  <si>
    <t>Gaelle Demuyt</t>
  </si>
  <si>
    <t>Christian Gibbons</t>
  </si>
  <si>
    <t>Salaries - AED</t>
  </si>
  <si>
    <t>James</t>
  </si>
  <si>
    <t>IGX Ltd</t>
  </si>
  <si>
    <t>Invendium</t>
  </si>
  <si>
    <t>BetterMedia</t>
  </si>
  <si>
    <t>Omnianet</t>
  </si>
  <si>
    <t>Oddschecker</t>
  </si>
  <si>
    <t>Compary AB</t>
  </si>
  <si>
    <t>Dejo Ltd</t>
  </si>
  <si>
    <t>Andy Media</t>
  </si>
  <si>
    <t>Conway solutions</t>
  </si>
  <si>
    <t>SEObrothers</t>
  </si>
  <si>
    <t>Ample Chance Group</t>
  </si>
  <si>
    <t>North Star</t>
  </si>
  <si>
    <t>Affiliates - ZA</t>
  </si>
  <si>
    <t>New World Gaming</t>
  </si>
  <si>
    <t>Quantum</t>
  </si>
  <si>
    <t>Marketing</t>
  </si>
  <si>
    <t>Marketing - ZA</t>
  </si>
  <si>
    <t>Marketing Materials</t>
  </si>
  <si>
    <t>Software &amp; Data feeds</t>
  </si>
  <si>
    <t>Softswiss/Turfsport</t>
  </si>
  <si>
    <t>Others</t>
  </si>
  <si>
    <t>Software &amp; Data feeds - ZA</t>
  </si>
  <si>
    <t>Other expenses</t>
  </si>
  <si>
    <t>Other expenses - ZA</t>
  </si>
  <si>
    <t>Communication expenses</t>
  </si>
  <si>
    <t>Bank charges</t>
  </si>
  <si>
    <t>Taxes</t>
  </si>
  <si>
    <t xml:space="preserve">GBD tax - 15% on Sports  </t>
  </si>
  <si>
    <t>RBD tax - 21% on Casino</t>
  </si>
  <si>
    <t>Others UAE</t>
  </si>
  <si>
    <t xml:space="preserve">Mitja </t>
  </si>
  <si>
    <t>X/twitter</t>
  </si>
  <si>
    <t>IE Turnover tax</t>
  </si>
  <si>
    <t>Total
(GBP)</t>
  </si>
  <si>
    <t>Salaries - IE/UK</t>
  </si>
  <si>
    <t>Affiliates - IE/UK</t>
  </si>
  <si>
    <t>NBSIE/UK</t>
  </si>
  <si>
    <t>Marketing - IE/UK</t>
  </si>
  <si>
    <t>Software &amp; Data feeds - IE/UK</t>
  </si>
  <si>
    <t>Other expenses - IE/UK</t>
  </si>
  <si>
    <t>Others IE/UK</t>
  </si>
  <si>
    <t>Taxes - IE/UK</t>
  </si>
  <si>
    <t>Salaries - ZA</t>
  </si>
  <si>
    <t>Nicholas Cockcroft</t>
  </si>
  <si>
    <t>Robert Sadler</t>
  </si>
  <si>
    <t>Jermaine Thomas</t>
  </si>
  <si>
    <t>Mitja (Skyrio)</t>
  </si>
  <si>
    <t>Softswiss/Stable Aggregator</t>
  </si>
  <si>
    <t>Sumsubs</t>
  </si>
  <si>
    <t>Tiger bet</t>
  </si>
  <si>
    <t>Total in EUR</t>
  </si>
  <si>
    <t>Software expenses</t>
  </si>
  <si>
    <t>Swifty Africa
(ZAR)</t>
  </si>
  <si>
    <t>Swifty IE/UK
(GBP)</t>
  </si>
  <si>
    <t>Software expenses - B2B</t>
  </si>
  <si>
    <t>Evolution</t>
  </si>
  <si>
    <t>Cyan Blue Odds</t>
  </si>
  <si>
    <t>Consultancy - IE/UK</t>
  </si>
  <si>
    <t>Payroll Hub</t>
  </si>
  <si>
    <t>Independent Betting</t>
  </si>
  <si>
    <t>Bank charges - IE/UK</t>
  </si>
  <si>
    <t>Capital GBP</t>
  </si>
  <si>
    <t>Paysafe</t>
  </si>
  <si>
    <t>Nuvei</t>
  </si>
  <si>
    <t>Fire GBP</t>
  </si>
  <si>
    <t>Fire CF GBP</t>
  </si>
  <si>
    <t>FIRE EUR</t>
  </si>
  <si>
    <t>Audit</t>
  </si>
  <si>
    <t>Consultancy expenses</t>
  </si>
  <si>
    <t>AmberGaming</t>
  </si>
  <si>
    <t>MEDIAHUIS</t>
  </si>
  <si>
    <t>IE</t>
  </si>
  <si>
    <t>FIRE Marketing EUR</t>
  </si>
  <si>
    <t>FIRE GBP</t>
  </si>
  <si>
    <t>Truelayer</t>
  </si>
  <si>
    <t>SimilarWeb</t>
  </si>
  <si>
    <t>DELETETWEETS</t>
  </si>
  <si>
    <t>XeroGlobal</t>
  </si>
  <si>
    <t>Mashreq</t>
  </si>
  <si>
    <t>365 Compliance - UK</t>
  </si>
  <si>
    <t>365 Compliance - Tech</t>
  </si>
  <si>
    <t>Outline Media</t>
  </si>
  <si>
    <t>Moneta</t>
  </si>
  <si>
    <t>Payroll expense</t>
  </si>
  <si>
    <t>Facebook</t>
  </si>
  <si>
    <t>Agents</t>
  </si>
  <si>
    <t>Shay Mcdonnel</t>
  </si>
  <si>
    <t>GoDaddy</t>
  </si>
  <si>
    <t xml:space="preserve">Apple Online </t>
  </si>
  <si>
    <t>Anthropic</t>
  </si>
  <si>
    <t>THERACINGAPI.COM</t>
  </si>
  <si>
    <t>Hootsuite</t>
  </si>
  <si>
    <t>Leadstar</t>
  </si>
  <si>
    <t>Juke box</t>
  </si>
  <si>
    <t>B2B clients</t>
  </si>
  <si>
    <t>Rent - IE/UK</t>
  </si>
  <si>
    <t>Travel</t>
  </si>
  <si>
    <t xml:space="preserve">Food </t>
  </si>
  <si>
    <t>Hotel</t>
  </si>
  <si>
    <t>Hospitality - IE/UK</t>
  </si>
  <si>
    <t>Hospitality - ZA</t>
  </si>
  <si>
    <t>Food</t>
  </si>
  <si>
    <t>Bank charges - ZA</t>
  </si>
  <si>
    <t>FNB Bank</t>
  </si>
  <si>
    <t>OTT</t>
  </si>
  <si>
    <t>Swiffy</t>
  </si>
  <si>
    <t>Rent - ZA</t>
  </si>
  <si>
    <t>Old office Rent</t>
  </si>
  <si>
    <t>New office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</si>
</sst>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[$ZAR]\ #,##0"/>
    <numFmt numFmtId="166" formatCode="[$€-1809]#,##0"/>
    <numFmt numFmtId="167" formatCode="[$£-809]#,##0.00"/>
    <numFmt numFmtId="168" formatCode="[$£-809]#,##0"/>
    <numFmt numFmtId="169" formatCode="_-* #,##0_-;\-* #,##0_-;_-* &quot;-&quot;??_-;_-@_-"/>
    <numFmt numFmtId="170" formatCode="[$£-809]#,##0;\-[$£-809]#,##0"/>
    <numFmt numFmtId="171" formatCode="[$£-809]#,##0.00;\-[$£-809]#,##0.00"/>
    <numFmt numFmtId="172" formatCode="_(* #,##0_);_(* \(#,##0\);_(* &quot;-&quot;??_);_(@_)"/>
    <numFmt numFmtId="173" formatCode="[$R-430]#,##0"/>
    <numFmt numFmtId="174" formatCode="&quot;AED&quot;#,##0"/>
    <numFmt numFmtId="177" formatCode="[$R-1C09]#,##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name val="Calibri"/>
      <family val="2"/>
    </font>
    <font>
      <b/>
      <i/>
      <u/>
      <sz val="18"/>
      <name val="Aptos Narrow"/>
      <family val="2"/>
      <scheme val="minor"/>
    </font>
    <font>
      <b/>
      <sz val="11"/>
      <color theme="0" tint="-0.499984740745262"/>
      <name val="Calibri"/>
      <family val="2"/>
    </font>
    <font>
      <sz val="11"/>
      <color theme="0" tint="-0.499984740745262"/>
      <name val="Calibri"/>
      <family val="2"/>
    </font>
    <font>
      <u/>
      <sz val="11"/>
      <color theme="1"/>
      <name val="Calibri"/>
      <family val="2"/>
    </font>
    <font>
      <sz val="11"/>
      <color rgb="FFFF0000"/>
      <name val="Calibri"/>
      <family val="2"/>
    </font>
    <font>
      <b/>
      <i/>
      <u/>
      <sz val="16"/>
      <name val="Calibri"/>
      <family val="2"/>
    </font>
    <font>
      <sz val="16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64" fontId="0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0" xfId="0" applyNumberFormat="1"/>
    <xf numFmtId="164" fontId="4" fillId="0" borderId="0" xfId="0" applyNumberFormat="1" applyFont="1"/>
    <xf numFmtId="0" fontId="0" fillId="3" borderId="0" xfId="0" applyFill="1"/>
    <xf numFmtId="164" fontId="0" fillId="0" borderId="0" xfId="1" applyFont="1" applyFill="1" applyBorder="1" applyAlignment="1">
      <alignment horizontal="centerContinuous"/>
    </xf>
    <xf numFmtId="169" fontId="0" fillId="0" borderId="0" xfId="1" applyNumberFormat="1" applyFont="1"/>
    <xf numFmtId="0" fontId="6" fillId="0" borderId="0" xfId="0" applyFont="1" applyAlignment="1">
      <alignment horizontal="centerContinuous"/>
    </xf>
    <xf numFmtId="164" fontId="6" fillId="0" borderId="0" xfId="1" applyFont="1" applyFill="1" applyBorder="1" applyAlignment="1">
      <alignment horizontal="centerContinuous"/>
    </xf>
    <xf numFmtId="170" fontId="0" fillId="0" borderId="0" xfId="1" applyNumberFormat="1" applyFont="1"/>
    <xf numFmtId="171" fontId="0" fillId="0" borderId="0" xfId="1" applyNumberFormat="1" applyFont="1"/>
    <xf numFmtId="164" fontId="0" fillId="0" borderId="0" xfId="1" applyFont="1"/>
    <xf numFmtId="164" fontId="0" fillId="0" borderId="0" xfId="1" applyFont="1" applyFill="1" applyBorder="1"/>
    <xf numFmtId="0" fontId="7" fillId="0" borderId="0" xfId="0" applyFont="1" applyAlignment="1">
      <alignment vertical="top"/>
    </xf>
    <xf numFmtId="164" fontId="8" fillId="0" borderId="0" xfId="1" applyFont="1" applyFill="1" applyBorder="1" applyAlignment="1"/>
    <xf numFmtId="164" fontId="8" fillId="0" borderId="0" xfId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9" fillId="0" borderId="6" xfId="0" applyFont="1" applyBorder="1"/>
    <xf numFmtId="170" fontId="8" fillId="0" borderId="7" xfId="1" applyNumberFormat="1" applyFont="1" applyFill="1" applyBorder="1" applyAlignment="1"/>
    <xf numFmtId="169" fontId="11" fillId="0" borderId="0" xfId="1" applyNumberFormat="1" applyFont="1"/>
    <xf numFmtId="170" fontId="9" fillId="0" borderId="0" xfId="1" applyNumberFormat="1" applyFont="1" applyFill="1" applyBorder="1" applyAlignment="1"/>
    <xf numFmtId="170" fontId="9" fillId="0" borderId="12" xfId="1" applyNumberFormat="1" applyFont="1" applyFill="1" applyBorder="1" applyAlignment="1"/>
    <xf numFmtId="170" fontId="9" fillId="0" borderId="7" xfId="1" applyNumberFormat="1" applyFont="1" applyFill="1" applyBorder="1" applyAlignment="1"/>
    <xf numFmtId="170" fontId="8" fillId="0" borderId="0" xfId="1" applyNumberFormat="1" applyFont="1" applyFill="1" applyBorder="1" applyAlignment="1"/>
    <xf numFmtId="170" fontId="8" fillId="0" borderId="12" xfId="1" applyNumberFormat="1" applyFont="1" applyFill="1" applyBorder="1" applyAlignment="1"/>
    <xf numFmtId="170" fontId="9" fillId="4" borderId="0" xfId="1" applyNumberFormat="1" applyFont="1" applyFill="1" applyBorder="1" applyAlignment="1"/>
    <xf numFmtId="170" fontId="8" fillId="0" borderId="13" xfId="1" applyNumberFormat="1" applyFont="1" applyFill="1" applyBorder="1" applyAlignment="1"/>
    <xf numFmtId="170" fontId="8" fillId="0" borderId="14" xfId="1" applyNumberFormat="1" applyFont="1" applyFill="1" applyBorder="1" applyAlignment="1"/>
    <xf numFmtId="170" fontId="8" fillId="0" borderId="18" xfId="1" applyNumberFormat="1" applyFont="1" applyFill="1" applyBorder="1" applyAlignment="1"/>
    <xf numFmtId="170" fontId="9" fillId="4" borderId="8" xfId="1" applyNumberFormat="1" applyFont="1" applyFill="1" applyBorder="1" applyAlignment="1"/>
    <xf numFmtId="170" fontId="9" fillId="4" borderId="20" xfId="1" applyNumberFormat="1" applyFont="1" applyFill="1" applyBorder="1" applyAlignment="1"/>
    <xf numFmtId="170" fontId="9" fillId="4" borderId="9" xfId="1" applyNumberFormat="1" applyFont="1" applyFill="1" applyBorder="1" applyAlignment="1"/>
    <xf numFmtId="169" fontId="10" fillId="0" borderId="0" xfId="1" applyNumberFormat="1" applyFont="1"/>
    <xf numFmtId="169" fontId="12" fillId="0" borderId="0" xfId="1" applyNumberFormat="1" applyFont="1"/>
    <xf numFmtId="0" fontId="12" fillId="0" borderId="0" xfId="0" applyFont="1"/>
    <xf numFmtId="170" fontId="12" fillId="0" borderId="0" xfId="0" applyNumberFormat="1" applyFont="1"/>
    <xf numFmtId="170" fontId="12" fillId="0" borderId="0" xfId="1" applyNumberFormat="1" applyFont="1" applyFill="1" applyBorder="1"/>
    <xf numFmtId="164" fontId="8" fillId="0" borderId="13" xfId="1" applyFont="1" applyFill="1" applyBorder="1" applyAlignment="1"/>
    <xf numFmtId="0" fontId="12" fillId="0" borderId="6" xfId="0" applyFont="1" applyBorder="1"/>
    <xf numFmtId="0" fontId="8" fillId="0" borderId="6" xfId="0" applyFont="1" applyBorder="1"/>
    <xf numFmtId="170" fontId="9" fillId="4" borderId="18" xfId="1" applyNumberFormat="1" applyFont="1" applyFill="1" applyBorder="1" applyAlignment="1"/>
    <xf numFmtId="164" fontId="9" fillId="5" borderId="22" xfId="1" applyFont="1" applyFill="1" applyBorder="1" applyAlignment="1">
      <alignment horizontal="center" vertical="center"/>
    </xf>
    <xf numFmtId="164" fontId="9" fillId="5" borderId="23" xfId="1" applyFont="1" applyFill="1" applyBorder="1" applyAlignment="1">
      <alignment horizontal="center" vertical="center"/>
    </xf>
    <xf numFmtId="164" fontId="8" fillId="0" borderId="24" xfId="1" applyFont="1" applyFill="1" applyBorder="1" applyAlignment="1"/>
    <xf numFmtId="164" fontId="8" fillId="0" borderId="25" xfId="1" applyFont="1" applyFill="1" applyBorder="1" applyAlignment="1"/>
    <xf numFmtId="170" fontId="8" fillId="0" borderId="26" xfId="1" applyNumberFormat="1" applyFont="1" applyFill="1" applyBorder="1" applyAlignment="1"/>
    <xf numFmtId="170" fontId="8" fillId="0" borderId="27" xfId="1" applyNumberFormat="1" applyFont="1" applyFill="1" applyBorder="1" applyAlignment="1"/>
    <xf numFmtId="164" fontId="8" fillId="0" borderId="14" xfId="1" applyFont="1" applyFill="1" applyBorder="1" applyAlignment="1"/>
    <xf numFmtId="170" fontId="9" fillId="0" borderId="26" xfId="1" applyNumberFormat="1" applyFont="1" applyFill="1" applyBorder="1" applyAlignment="1"/>
    <xf numFmtId="170" fontId="9" fillId="4" borderId="12" xfId="1" applyNumberFormat="1" applyFont="1" applyFill="1" applyBorder="1" applyAlignment="1"/>
    <xf numFmtId="0" fontId="9" fillId="0" borderId="10" xfId="0" applyFont="1" applyBorder="1"/>
    <xf numFmtId="164" fontId="9" fillId="5" borderId="3" xfId="1" applyFont="1" applyFill="1" applyBorder="1" applyAlignment="1">
      <alignment horizontal="center" vertical="center"/>
    </xf>
    <xf numFmtId="0" fontId="9" fillId="0" borderId="19" xfId="0" applyFont="1" applyBorder="1"/>
    <xf numFmtId="170" fontId="9" fillId="4" borderId="28" xfId="1" applyNumberFormat="1" applyFont="1" applyFill="1" applyBorder="1" applyAlignment="1"/>
    <xf numFmtId="164" fontId="9" fillId="5" borderId="11" xfId="1" applyFont="1" applyFill="1" applyBorder="1" applyAlignment="1">
      <alignment horizontal="center" vertical="center"/>
    </xf>
    <xf numFmtId="164" fontId="8" fillId="0" borderId="15" xfId="1" applyFont="1" applyFill="1" applyBorder="1" applyAlignment="1"/>
    <xf numFmtId="0" fontId="13" fillId="0" borderId="6" xfId="0" applyFont="1" applyBorder="1"/>
    <xf numFmtId="0" fontId="8" fillId="0" borderId="6" xfId="0" applyFont="1" applyBorder="1" applyAlignment="1">
      <alignment horizontal="left"/>
    </xf>
    <xf numFmtId="164" fontId="12" fillId="0" borderId="0" xfId="1" applyFont="1"/>
    <xf numFmtId="0" fontId="12" fillId="0" borderId="21" xfId="0" applyFont="1" applyBorder="1"/>
    <xf numFmtId="0" fontId="12" fillId="0" borderId="13" xfId="0" applyFont="1" applyBorder="1"/>
    <xf numFmtId="172" fontId="9" fillId="5" borderId="4" xfId="1" applyNumberFormat="1" applyFont="1" applyFill="1" applyBorder="1" applyAlignment="1">
      <alignment horizontal="left"/>
    </xf>
    <xf numFmtId="164" fontId="9" fillId="5" borderId="4" xfId="1" applyFont="1" applyFill="1" applyBorder="1" applyAlignment="1">
      <alignment horizontal="center"/>
    </xf>
    <xf numFmtId="164" fontId="9" fillId="5" borderId="30" xfId="1" applyFont="1" applyFill="1" applyBorder="1" applyAlignment="1">
      <alignment horizontal="center"/>
    </xf>
    <xf numFmtId="0" fontId="10" fillId="5" borderId="8" xfId="0" applyFont="1" applyFill="1" applyBorder="1"/>
    <xf numFmtId="172" fontId="10" fillId="5" borderId="8" xfId="1" applyNumberFormat="1" applyFont="1" applyFill="1" applyBorder="1"/>
    <xf numFmtId="172" fontId="10" fillId="5" borderId="31" xfId="1" applyNumberFormat="1" applyFont="1" applyFill="1" applyBorder="1"/>
    <xf numFmtId="167" fontId="10" fillId="2" borderId="2" xfId="1" applyNumberFormat="1" applyFont="1" applyFill="1" applyBorder="1" applyAlignment="1">
      <alignment horizontal="center"/>
    </xf>
    <xf numFmtId="167" fontId="10" fillId="2" borderId="3" xfId="1" applyNumberFormat="1" applyFont="1" applyFill="1" applyBorder="1" applyAlignment="1">
      <alignment horizontal="center"/>
    </xf>
    <xf numFmtId="165" fontId="12" fillId="0" borderId="0" xfId="0" applyNumberFormat="1" applyFont="1"/>
    <xf numFmtId="166" fontId="16" fillId="0" borderId="0" xfId="0" applyNumberFormat="1" applyFont="1"/>
    <xf numFmtId="168" fontId="12" fillId="0" borderId="0" xfId="0" applyNumberFormat="1" applyFont="1"/>
    <xf numFmtId="0" fontId="17" fillId="0" borderId="6" xfId="0" applyFont="1" applyBorder="1"/>
    <xf numFmtId="0" fontId="12" fillId="0" borderId="6" xfId="0" applyFont="1" applyBorder="1" applyAlignment="1">
      <alignment horizontal="left" indent="1"/>
    </xf>
    <xf numFmtId="0" fontId="16" fillId="0" borderId="0" xfId="0" applyFont="1"/>
    <xf numFmtId="165" fontId="12" fillId="0" borderId="8" xfId="0" applyNumberFormat="1" applyFont="1" applyBorder="1"/>
    <xf numFmtId="166" fontId="16" fillId="0" borderId="8" xfId="0" applyNumberFormat="1" applyFont="1" applyBorder="1"/>
    <xf numFmtId="168" fontId="12" fillId="0" borderId="8" xfId="0" applyNumberFormat="1" applyFont="1" applyBorder="1"/>
    <xf numFmtId="0" fontId="10" fillId="2" borderId="6" xfId="0" applyFont="1" applyFill="1" applyBorder="1"/>
    <xf numFmtId="165" fontId="10" fillId="2" borderId="0" xfId="0" applyNumberFormat="1" applyFont="1" applyFill="1"/>
    <xf numFmtId="166" fontId="15" fillId="2" borderId="0" xfId="0" applyNumberFormat="1" applyFont="1" applyFill="1"/>
    <xf numFmtId="168" fontId="10" fillId="2" borderId="0" xfId="0" applyNumberFormat="1" applyFont="1" applyFill="1"/>
    <xf numFmtId="0" fontId="10" fillId="0" borderId="6" xfId="0" applyFont="1" applyBorder="1"/>
    <xf numFmtId="165" fontId="10" fillId="0" borderId="0" xfId="0" applyNumberFormat="1" applyFont="1"/>
    <xf numFmtId="166" fontId="15" fillId="0" borderId="0" xfId="0" applyNumberFormat="1" applyFont="1"/>
    <xf numFmtId="168" fontId="10" fillId="0" borderId="0" xfId="0" applyNumberFormat="1" applyFont="1"/>
    <xf numFmtId="0" fontId="18" fillId="0" borderId="6" xfId="0" applyFont="1" applyBorder="1" applyAlignment="1">
      <alignment horizontal="left" indent="1"/>
    </xf>
    <xf numFmtId="167" fontId="12" fillId="0" borderId="0" xfId="0" applyNumberFormat="1" applyFont="1"/>
    <xf numFmtId="166" fontId="12" fillId="0" borderId="0" xfId="0" applyNumberFormat="1" applyFont="1"/>
    <xf numFmtId="168" fontId="16" fillId="0" borderId="0" xfId="0" applyNumberFormat="1" applyFont="1"/>
    <xf numFmtId="168" fontId="12" fillId="3" borderId="0" xfId="0" applyNumberFormat="1" applyFont="1" applyFill="1"/>
    <xf numFmtId="0" fontId="17" fillId="0" borderId="6" xfId="0" applyFont="1" applyBorder="1" applyAlignment="1">
      <alignment horizontal="left"/>
    </xf>
    <xf numFmtId="0" fontId="12" fillId="2" borderId="1" xfId="0" applyFont="1" applyFill="1" applyBorder="1" applyAlignment="1">
      <alignment vertical="center"/>
    </xf>
    <xf numFmtId="165" fontId="10" fillId="2" borderId="2" xfId="1" applyNumberFormat="1" applyFont="1" applyFill="1" applyBorder="1" applyAlignment="1">
      <alignment vertical="center"/>
    </xf>
    <xf numFmtId="0" fontId="8" fillId="0" borderId="0" xfId="0" applyFont="1" applyAlignment="1">
      <alignment horizontal="centerContinuous"/>
    </xf>
    <xf numFmtId="164" fontId="8" fillId="0" borderId="0" xfId="1" applyFont="1" applyFill="1" applyBorder="1" applyAlignment="1">
      <alignment horizontal="centerContinuous"/>
    </xf>
    <xf numFmtId="170" fontId="12" fillId="0" borderId="0" xfId="1" applyNumberFormat="1" applyFont="1"/>
    <xf numFmtId="171" fontId="12" fillId="0" borderId="0" xfId="1" applyNumberFormat="1" applyFont="1"/>
    <xf numFmtId="164" fontId="12" fillId="0" borderId="0" xfId="1" applyFont="1" applyFill="1" applyBorder="1"/>
    <xf numFmtId="0" fontId="20" fillId="0" borderId="0" xfId="0" applyFont="1"/>
    <xf numFmtId="173" fontId="8" fillId="0" borderId="26" xfId="1" applyNumberFormat="1" applyFont="1" applyFill="1" applyBorder="1" applyAlignment="1"/>
    <xf numFmtId="173" fontId="8" fillId="0" borderId="27" xfId="1" applyNumberFormat="1" applyFont="1" applyFill="1" applyBorder="1" applyAlignment="1"/>
    <xf numFmtId="173" fontId="9" fillId="0" borderId="26" xfId="1" applyNumberFormat="1" applyFont="1" applyFill="1" applyBorder="1" applyAlignment="1"/>
    <xf numFmtId="173" fontId="9" fillId="4" borderId="26" xfId="1" applyNumberFormat="1" applyFont="1" applyFill="1" applyBorder="1" applyAlignment="1"/>
    <xf numFmtId="173" fontId="9" fillId="4" borderId="28" xfId="1" applyNumberFormat="1" applyFont="1" applyFill="1" applyBorder="1" applyAlignment="1"/>
    <xf numFmtId="0" fontId="9" fillId="5" borderId="29" xfId="0" applyFont="1" applyFill="1" applyBorder="1" applyAlignment="1">
      <alignment horizontal="center"/>
    </xf>
    <xf numFmtId="0" fontId="10" fillId="5" borderId="19" xfId="0" applyFont="1" applyFill="1" applyBorder="1"/>
    <xf numFmtId="173" fontId="8" fillId="0" borderId="0" xfId="1" applyNumberFormat="1" applyFont="1" applyFill="1" applyBorder="1" applyAlignment="1"/>
    <xf numFmtId="173" fontId="8" fillId="0" borderId="16" xfId="1" applyNumberFormat="1" applyFont="1" applyFill="1" applyBorder="1" applyAlignment="1"/>
    <xf numFmtId="173" fontId="12" fillId="0" borderId="13" xfId="1" applyNumberFormat="1" applyFont="1" applyBorder="1"/>
    <xf numFmtId="173" fontId="12" fillId="0" borderId="17" xfId="1" applyNumberFormat="1" applyFont="1" applyBorder="1"/>
    <xf numFmtId="173" fontId="10" fillId="5" borderId="8" xfId="1" applyNumberFormat="1" applyFont="1" applyFill="1" applyBorder="1"/>
    <xf numFmtId="173" fontId="10" fillId="5" borderId="31" xfId="1" applyNumberFormat="1" applyFont="1" applyFill="1" applyBorder="1"/>
    <xf numFmtId="174" fontId="8" fillId="0" borderId="0" xfId="1" applyNumberFormat="1" applyFont="1" applyFill="1" applyBorder="1" applyAlignment="1"/>
    <xf numFmtId="174" fontId="8" fillId="0" borderId="16" xfId="1" applyNumberFormat="1" applyFont="1" applyFill="1" applyBorder="1" applyAlignment="1"/>
    <xf numFmtId="174" fontId="12" fillId="0" borderId="13" xfId="1" applyNumberFormat="1" applyFont="1" applyBorder="1"/>
    <xf numFmtId="174" fontId="12" fillId="0" borderId="17" xfId="1" applyNumberFormat="1" applyFont="1" applyBorder="1"/>
    <xf numFmtId="174" fontId="10" fillId="5" borderId="8" xfId="1" applyNumberFormat="1" applyFont="1" applyFill="1" applyBorder="1"/>
    <xf numFmtId="174" fontId="10" fillId="5" borderId="31" xfId="1" applyNumberFormat="1" applyFont="1" applyFill="1" applyBorder="1"/>
    <xf numFmtId="168" fontId="8" fillId="0" borderId="0" xfId="1" applyNumberFormat="1" applyFont="1" applyFill="1" applyBorder="1" applyAlignment="1"/>
    <xf numFmtId="168" fontId="8" fillId="0" borderId="16" xfId="1" applyNumberFormat="1" applyFont="1" applyFill="1" applyBorder="1" applyAlignment="1"/>
    <xf numFmtId="168" fontId="12" fillId="0" borderId="13" xfId="1" applyNumberFormat="1" applyFont="1" applyBorder="1"/>
    <xf numFmtId="168" fontId="12" fillId="0" borderId="17" xfId="1" applyNumberFormat="1" applyFont="1" applyBorder="1"/>
    <xf numFmtId="168" fontId="10" fillId="5" borderId="8" xfId="1" applyNumberFormat="1" applyFont="1" applyFill="1" applyBorder="1"/>
    <xf numFmtId="168" fontId="10" fillId="5" borderId="31" xfId="1" applyNumberFormat="1" applyFont="1" applyFill="1" applyBorder="1"/>
    <xf numFmtId="0" fontId="8" fillId="0" borderId="21" xfId="0" applyFont="1" applyBorder="1" applyAlignment="1">
      <alignment horizontal="left"/>
    </xf>
    <xf numFmtId="173" fontId="8" fillId="0" borderId="13" xfId="1" applyNumberFormat="1" applyFont="1" applyFill="1" applyBorder="1" applyAlignment="1"/>
    <xf numFmtId="173" fontId="8" fillId="0" borderId="17" xfId="1" applyNumberFormat="1" applyFont="1" applyFill="1" applyBorder="1" applyAlignment="1"/>
    <xf numFmtId="170" fontId="9" fillId="4" borderId="26" xfId="1" applyNumberFormat="1" applyFont="1" applyFill="1" applyBorder="1" applyAlignment="1"/>
    <xf numFmtId="164" fontId="9" fillId="5" borderId="0" xfId="1" applyFont="1" applyFill="1" applyBorder="1" applyAlignment="1">
      <alignment horizontal="center" vertical="center" wrapText="1"/>
    </xf>
    <xf numFmtId="164" fontId="8" fillId="0" borderId="5" xfId="1" applyFont="1" applyFill="1" applyBorder="1" applyAlignment="1">
      <alignment horizontal="left"/>
    </xf>
    <xf numFmtId="164" fontId="9" fillId="5" borderId="33" xfId="1" applyFont="1" applyFill="1" applyBorder="1" applyAlignment="1">
      <alignment horizontal="center" vertical="center" wrapText="1"/>
    </xf>
    <xf numFmtId="168" fontId="8" fillId="0" borderId="33" xfId="1" applyNumberFormat="1" applyFont="1" applyFill="1" applyBorder="1" applyAlignment="1"/>
    <xf numFmtId="168" fontId="8" fillId="0" borderId="34" xfId="1" applyNumberFormat="1" applyFont="1" applyFill="1" applyBorder="1" applyAlignment="1"/>
    <xf numFmtId="168" fontId="8" fillId="0" borderId="35" xfId="1" applyNumberFormat="1" applyFont="1" applyFill="1" applyBorder="1" applyAlignment="1"/>
    <xf numFmtId="168" fontId="9" fillId="0" borderId="34" xfId="1" applyNumberFormat="1" applyFont="1" applyFill="1" applyBorder="1" applyAlignment="1"/>
    <xf numFmtId="168" fontId="9" fillId="4" borderId="34" xfId="1" applyNumberFormat="1" applyFont="1" applyFill="1" applyBorder="1" applyAlignment="1"/>
    <xf numFmtId="168" fontId="9" fillId="4" borderId="36" xfId="1" applyNumberFormat="1" applyFont="1" applyFill="1" applyBorder="1" applyAlignment="1"/>
    <xf numFmtId="166" fontId="8" fillId="0" borderId="0" xfId="1" applyNumberFormat="1" applyFont="1" applyFill="1" applyBorder="1" applyAlignment="1"/>
    <xf numFmtId="166" fontId="8" fillId="0" borderId="16" xfId="1" applyNumberFormat="1" applyFont="1" applyFill="1" applyBorder="1" applyAlignment="1"/>
    <xf numFmtId="166" fontId="12" fillId="0" borderId="13" xfId="1" applyNumberFormat="1" applyFont="1" applyBorder="1"/>
    <xf numFmtId="166" fontId="12" fillId="0" borderId="17" xfId="1" applyNumberFormat="1" applyFont="1" applyBorder="1"/>
    <xf numFmtId="166" fontId="10" fillId="5" borderId="8" xfId="1" applyNumberFormat="1" applyFont="1" applyFill="1" applyBorder="1"/>
    <xf numFmtId="166" fontId="10" fillId="5" borderId="31" xfId="1" applyNumberFormat="1" applyFont="1" applyFill="1" applyBorder="1"/>
    <xf numFmtId="164" fontId="9" fillId="5" borderId="26" xfId="1" applyFont="1" applyFill="1" applyBorder="1" applyAlignment="1">
      <alignment horizontal="center" vertical="center" wrapText="1"/>
    </xf>
    <xf numFmtId="170" fontId="8" fillId="0" borderId="16" xfId="1" applyNumberFormat="1" applyFont="1" applyFill="1" applyBorder="1" applyAlignment="1"/>
    <xf numFmtId="0" fontId="12" fillId="0" borderId="0" xfId="1" applyNumberFormat="1" applyFont="1"/>
    <xf numFmtId="9" fontId="12" fillId="0" borderId="0" xfId="1" applyNumberFormat="1" applyFont="1"/>
    <xf numFmtId="173" fontId="12" fillId="0" borderId="0" xfId="1" applyNumberFormat="1" applyFont="1"/>
    <xf numFmtId="9" fontId="12" fillId="0" borderId="0" xfId="2" applyFont="1"/>
    <xf numFmtId="170" fontId="8" fillId="3" borderId="0" xfId="1" applyNumberFormat="1" applyFont="1" applyFill="1" applyBorder="1" applyAlignment="1"/>
    <xf numFmtId="0" fontId="21" fillId="0" borderId="0" xfId="0" applyFont="1"/>
    <xf numFmtId="166" fontId="8" fillId="3" borderId="0" xfId="1" applyNumberFormat="1" applyFont="1" applyFill="1" applyBorder="1" applyAlignment="1"/>
    <xf numFmtId="168" fontId="8" fillId="0" borderId="13" xfId="1" applyNumberFormat="1" applyFont="1" applyFill="1" applyBorder="1" applyAlignment="1"/>
    <xf numFmtId="0" fontId="19" fillId="0" borderId="0" xfId="0" applyFont="1" applyAlignment="1">
      <alignment horizontal="center"/>
    </xf>
    <xf numFmtId="164" fontId="9" fillId="0" borderId="0" xfId="1" applyFont="1" applyFill="1" applyBorder="1" applyAlignment="1">
      <alignment horizontal="center"/>
    </xf>
    <xf numFmtId="164" fontId="9" fillId="5" borderId="3" xfId="1" applyFont="1" applyFill="1" applyBorder="1" applyAlignment="1">
      <alignment horizontal="center" vertical="center"/>
    </xf>
    <xf numFmtId="164" fontId="9" fillId="5" borderId="4" xfId="1" applyFont="1" applyFill="1" applyBorder="1" applyAlignment="1">
      <alignment horizontal="center" vertical="center"/>
    </xf>
    <xf numFmtId="164" fontId="9" fillId="5" borderId="32" xfId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/>
    </xf>
    <xf numFmtId="169" fontId="10" fillId="0" borderId="8" xfId="1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77" fontId="8" fillId="0" borderId="0" xfId="1" applyNumberFormat="1" applyFont="1" applyFill="1" applyBorder="1" applyAlignment="1"/>
    <xf numFmtId="177" fontId="8" fillId="0" borderId="16" xfId="1" applyNumberFormat="1" applyFont="1" applyFill="1" applyBorder="1" applyAlignment="1"/>
    <xf numFmtId="177" fontId="12" fillId="0" borderId="13" xfId="1" applyNumberFormat="1" applyFont="1" applyBorder="1"/>
    <xf numFmtId="177" fontId="12" fillId="0" borderId="17" xfId="1" applyNumberFormat="1" applyFont="1" applyBorder="1"/>
    <xf numFmtId="177" fontId="10" fillId="5" borderId="8" xfId="1" applyNumberFormat="1" applyFont="1" applyFill="1" applyBorder="1"/>
    <xf numFmtId="177" fontId="10" fillId="5" borderId="31" xfId="1" applyNumberFormat="1" applyFont="1" applyFill="1" applyBorder="1"/>
    <xf numFmtId="0" fontId="6" fillId="0" borderId="0" xfId="0" applyFont="1"/>
    <xf numFmtId="174" fontId="6" fillId="0" borderId="0" xfId="1" applyNumberFormat="1" applyFont="1" applyFill="1" applyBorder="1" applyAlignment="1"/>
    <xf numFmtId="174" fontId="8" fillId="6" borderId="0" xfId="1" applyNumberFormat="1" applyFont="1" applyFill="1" applyBorder="1" applyAlignment="1"/>
    <xf numFmtId="173" fontId="8" fillId="6" borderId="0" xfId="1" applyNumberFormat="1" applyFont="1" applyFill="1" applyBorder="1" applyAlignment="1"/>
    <xf numFmtId="168" fontId="8" fillId="6" borderId="0" xfId="1" applyNumberFormat="1" applyFont="1" applyFill="1" applyBorder="1" applyAlignment="1"/>
    <xf numFmtId="174" fontId="6" fillId="6" borderId="0" xfId="1" applyNumberFormat="1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deep Kumar" id="{4CD7DDB4-0DD5-4E72-BC24-8E7904EAEE75}" userId="S::sandeep.kumar@swifty.global::c78f0d24-a77a-4294-975e-6a5f74d45441" providerId="AD"/>
  <person displayName="Mohammad Hidayathullah" id="{C15AF28B-70FF-4A4C-A45A-7194815E34F9}" userId="S::mohammad.hidayathullah@swifty.global::1ea98b33-6d70-43b4-be3b-90c5494511c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5" dT="2026-02-16T16:08:53.08" personId="{C15AF28B-70FF-4A4C-A45A-7194815E34F9}" id="{F5311441-AD0A-4238-A096-D294CD5BA8E6}">
    <text>This is EUR 5K we pay every month in USDC.</text>
  </threadedComment>
  <threadedComment ref="C26" dT="2026-02-16T16:09:58.11" personId="{C15AF28B-70FF-4A4C-A45A-7194815E34F9}" id="{0C2ED314-27BD-40E4-BC47-26E478564886}">
    <text xml:space="preserve">Please review the Expense Breakdown sheet and highlight any expenses that should be moved to B2C.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65" dT="2026-04-14T08:51:15.35" personId="{C15AF28B-70FF-4A4C-A45A-7194815E34F9}" id="{921E8E67-361C-4E74-B5DC-603C0371315F}">
    <text>R 12.6K expensed on office renovation.</text>
  </threadedComment>
  <threadedComment ref="F262" dT="2026-04-14T07:59:05.51" personId="{4CD7DDB4-0DD5-4E72-BC24-8E7904EAEE75}" id="{03AA1AFD-6758-4F73-A780-92A6084CEF77}">
    <text>R 5300 for 2024 &amp; 2025 FS filing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357A-EF1E-D045-8129-1A367E8782BA}">
  <dimension ref="A3:D33"/>
  <sheetViews>
    <sheetView zoomScale="150" workbookViewId="0">
      <selection activeCell="I22" sqref="I22"/>
    </sheetView>
  </sheetViews>
  <sheetFormatPr defaultColWidth="11.19921875" defaultRowHeight="15.6" x14ac:dyDescent="0.3"/>
  <cols>
    <col min="1" max="1" width="15.796875" bestFit="1" customWidth="1"/>
    <col min="2" max="2" width="14" customWidth="1"/>
    <col min="3" max="3" width="13.796875" customWidth="1"/>
    <col min="4" max="4" width="12" customWidth="1"/>
  </cols>
  <sheetData>
    <row r="3" spans="1:4" x14ac:dyDescent="0.3">
      <c r="A3" s="1"/>
      <c r="B3" s="1" t="s">
        <v>65</v>
      </c>
      <c r="C3" s="1" t="s">
        <v>154</v>
      </c>
      <c r="D3" s="1" t="s">
        <v>155</v>
      </c>
    </row>
    <row r="4" spans="1:4" x14ac:dyDescent="0.3">
      <c r="A4" t="s">
        <v>69</v>
      </c>
    </row>
    <row r="5" spans="1:4" x14ac:dyDescent="0.3">
      <c r="A5" t="s">
        <v>70</v>
      </c>
    </row>
    <row r="7" spans="1:4" x14ac:dyDescent="0.3">
      <c r="A7" s="1" t="s">
        <v>156</v>
      </c>
    </row>
    <row r="8" spans="1:4" x14ac:dyDescent="0.3">
      <c r="A8" t="s">
        <v>1</v>
      </c>
      <c r="D8">
        <v>28000</v>
      </c>
    </row>
    <row r="9" spans="1:4" x14ac:dyDescent="0.3">
      <c r="A9" t="s">
        <v>2</v>
      </c>
      <c r="D9">
        <v>25000</v>
      </c>
    </row>
    <row r="10" spans="1:4" x14ac:dyDescent="0.3">
      <c r="A10" t="s">
        <v>18</v>
      </c>
      <c r="D10">
        <v>25000</v>
      </c>
    </row>
    <row r="11" spans="1:4" x14ac:dyDescent="0.3">
      <c r="A11" t="s">
        <v>3</v>
      </c>
      <c r="D11" s="11">
        <v>20000</v>
      </c>
    </row>
    <row r="13" spans="1:4" x14ac:dyDescent="0.3">
      <c r="A13" t="s">
        <v>73</v>
      </c>
    </row>
    <row r="15" spans="1:4" x14ac:dyDescent="0.3">
      <c r="A15" t="s">
        <v>54</v>
      </c>
    </row>
    <row r="18" spans="1:4" x14ac:dyDescent="0.3">
      <c r="A18" s="1" t="s">
        <v>157</v>
      </c>
    </row>
    <row r="19" spans="1:4" x14ac:dyDescent="0.3">
      <c r="A19" t="s">
        <v>164</v>
      </c>
      <c r="C19" s="11">
        <v>20000</v>
      </c>
    </row>
    <row r="22" spans="1:4" x14ac:dyDescent="0.3">
      <c r="A22" s="1" t="s">
        <v>63</v>
      </c>
    </row>
    <row r="23" spans="1:4" x14ac:dyDescent="0.3">
      <c r="A23" t="s">
        <v>162</v>
      </c>
      <c r="C23">
        <v>50000</v>
      </c>
    </row>
    <row r="24" spans="1:4" x14ac:dyDescent="0.3">
      <c r="A24" t="s">
        <v>163</v>
      </c>
      <c r="D24">
        <v>50000</v>
      </c>
    </row>
    <row r="26" spans="1:4" x14ac:dyDescent="0.3">
      <c r="A26" s="1" t="s">
        <v>158</v>
      </c>
    </row>
    <row r="27" spans="1:4" x14ac:dyDescent="0.3">
      <c r="A27" t="s">
        <v>119</v>
      </c>
    </row>
    <row r="28" spans="1:4" x14ac:dyDescent="0.3">
      <c r="A28" t="s">
        <v>58</v>
      </c>
      <c r="D28">
        <v>24000</v>
      </c>
    </row>
    <row r="29" spans="1:4" x14ac:dyDescent="0.3">
      <c r="A29" t="s">
        <v>159</v>
      </c>
    </row>
    <row r="30" spans="1:4" x14ac:dyDescent="0.3">
      <c r="A30" t="s">
        <v>160</v>
      </c>
      <c r="D30">
        <v>6000</v>
      </c>
    </row>
    <row r="31" spans="1:4" x14ac:dyDescent="0.3">
      <c r="A31" t="s">
        <v>120</v>
      </c>
      <c r="D31">
        <v>5000</v>
      </c>
    </row>
    <row r="32" spans="1:4" x14ac:dyDescent="0.3">
      <c r="A32" t="s">
        <v>161</v>
      </c>
      <c r="D32">
        <v>10000</v>
      </c>
    </row>
    <row r="33" spans="1:1" x14ac:dyDescent="0.3">
      <c r="A33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59DB-F990-624C-9F87-6474395D681F}">
  <dimension ref="B1:L74"/>
  <sheetViews>
    <sheetView showGridLines="0" topLeftCell="A6" workbookViewId="0">
      <selection activeCell="C19" sqref="C19"/>
    </sheetView>
  </sheetViews>
  <sheetFormatPr defaultRowHeight="14.4" x14ac:dyDescent="0.3"/>
  <cols>
    <col min="1" max="1" width="3.69921875" style="42" customWidth="1"/>
    <col min="2" max="2" width="34.59765625" style="42" customWidth="1"/>
    <col min="3" max="4" width="12.796875" style="106" customWidth="1"/>
    <col min="5" max="5" width="12.296875" style="106" customWidth="1"/>
    <col min="6" max="7" width="12.796875" style="106" customWidth="1"/>
    <col min="8" max="8" width="12.296875" style="106" customWidth="1"/>
    <col min="9" max="10" width="12.796875" style="106" customWidth="1"/>
    <col min="11" max="11" width="12.296875" style="106" customWidth="1"/>
    <col min="12" max="16384" width="8.796875" style="42"/>
  </cols>
  <sheetData>
    <row r="1" spans="2:12" s="107" customFormat="1" ht="21" x14ac:dyDescent="0.4">
      <c r="B1" s="162" t="s">
        <v>210</v>
      </c>
      <c r="C1" s="162"/>
      <c r="D1" s="162"/>
      <c r="E1" s="162"/>
      <c r="F1" s="162"/>
      <c r="G1" s="162"/>
      <c r="H1" s="162"/>
      <c r="I1" s="162"/>
      <c r="J1" s="162"/>
      <c r="K1" s="162"/>
    </row>
    <row r="2" spans="2:12" x14ac:dyDescent="0.3">
      <c r="B2" s="102"/>
      <c r="C2" s="103"/>
      <c r="D2" s="103"/>
      <c r="E2" s="103"/>
      <c r="F2" s="103"/>
      <c r="G2" s="163"/>
      <c r="H2" s="163"/>
      <c r="I2" s="103"/>
      <c r="J2" s="163"/>
      <c r="K2" s="163"/>
    </row>
    <row r="3" spans="2:12" hidden="1" x14ac:dyDescent="0.3">
      <c r="B3" s="102"/>
      <c r="C3" s="103"/>
      <c r="D3" s="138" t="s">
        <v>148</v>
      </c>
      <c r="E3" s="138">
        <v>4.555E-2</v>
      </c>
      <c r="F3" s="103"/>
      <c r="G3" s="138" t="s">
        <v>148</v>
      </c>
      <c r="H3" s="138">
        <v>4.6580000000000003E-2</v>
      </c>
      <c r="I3" s="103"/>
      <c r="J3" s="138" t="s">
        <v>148</v>
      </c>
      <c r="K3" s="138">
        <v>4.4049999999999999E-2</v>
      </c>
    </row>
    <row r="4" spans="2:12" ht="18" customHeight="1" thickBot="1" x14ac:dyDescent="0.35">
      <c r="B4" s="20"/>
      <c r="C4" s="21"/>
      <c r="D4" s="21"/>
      <c r="E4" s="21"/>
      <c r="F4" s="21"/>
      <c r="G4" s="21"/>
      <c r="H4" s="21"/>
      <c r="I4" s="21"/>
      <c r="J4" s="21"/>
      <c r="K4" s="21"/>
    </row>
    <row r="5" spans="2:12" s="24" customFormat="1" ht="23.4" customHeight="1" x14ac:dyDescent="0.3">
      <c r="B5" s="58"/>
      <c r="C5" s="164" t="s">
        <v>167</v>
      </c>
      <c r="D5" s="165"/>
      <c r="E5" s="165"/>
      <c r="F5" s="164" t="s">
        <v>168</v>
      </c>
      <c r="G5" s="165"/>
      <c r="H5" s="166"/>
      <c r="I5" s="164" t="s">
        <v>169</v>
      </c>
      <c r="J5" s="165"/>
      <c r="K5" s="166"/>
    </row>
    <row r="6" spans="2:12" s="24" customFormat="1" ht="28.8" customHeight="1" x14ac:dyDescent="0.3">
      <c r="B6" s="25"/>
      <c r="C6" s="152" t="s">
        <v>273</v>
      </c>
      <c r="D6" s="137" t="s">
        <v>274</v>
      </c>
      <c r="E6" s="139" t="s">
        <v>254</v>
      </c>
      <c r="F6" s="152" t="s">
        <v>273</v>
      </c>
      <c r="G6" s="137" t="s">
        <v>274</v>
      </c>
      <c r="H6" s="139" t="s">
        <v>254</v>
      </c>
      <c r="I6" s="152" t="s">
        <v>273</v>
      </c>
      <c r="J6" s="137" t="s">
        <v>274</v>
      </c>
      <c r="K6" s="139" t="s">
        <v>254</v>
      </c>
    </row>
    <row r="7" spans="2:12" x14ac:dyDescent="0.3">
      <c r="B7" s="64" t="s">
        <v>180</v>
      </c>
      <c r="C7" s="51"/>
      <c r="D7" s="52"/>
      <c r="E7" s="140"/>
      <c r="F7" s="51"/>
      <c r="G7" s="52"/>
      <c r="H7" s="140"/>
      <c r="I7" s="51"/>
      <c r="J7" s="52"/>
      <c r="K7" s="140"/>
    </row>
    <row r="8" spans="2:12" x14ac:dyDescent="0.3">
      <c r="B8" s="46" t="s">
        <v>196</v>
      </c>
      <c r="C8" s="108">
        <v>-201966.94</v>
      </c>
      <c r="D8" s="31">
        <f>63994.02+(20349.51/1.15)</f>
        <v>81689.246086956526</v>
      </c>
      <c r="E8" s="141">
        <f>D8+(C8*$E$3)</f>
        <v>72489.651969956525</v>
      </c>
      <c r="F8" s="108">
        <v>-195284.28999999995</v>
      </c>
      <c r="G8" s="31">
        <f>62334.33+(21236.21/1.141)</f>
        <v>80946.25813321647</v>
      </c>
      <c r="H8" s="141">
        <f>G8+(F8*H$3)</f>
        <v>71849.915905016474</v>
      </c>
      <c r="I8" s="108">
        <v>-236533.50000000003</v>
      </c>
      <c r="J8" s="31">
        <f>79104.27+(23400.29/1.151)</f>
        <v>99434.669652476121</v>
      </c>
      <c r="K8" s="141">
        <f>J8+(I8*K$3)</f>
        <v>89015.368977476115</v>
      </c>
      <c r="L8" s="43"/>
    </row>
    <row r="9" spans="2:12" x14ac:dyDescent="0.3">
      <c r="B9" s="46" t="s">
        <v>16</v>
      </c>
      <c r="C9" s="108">
        <v>409107.07</v>
      </c>
      <c r="D9" s="31">
        <f>108779.53+(-1654.02/1.15)</f>
        <v>107341.25173913043</v>
      </c>
      <c r="E9" s="141">
        <f>D9+(C9*$E$3)</f>
        <v>125976.07877763044</v>
      </c>
      <c r="F9" s="108">
        <v>889923.34000000032</v>
      </c>
      <c r="G9" s="31">
        <f>74955.6+(127.5/1.141)</f>
        <v>75067.344084136726</v>
      </c>
      <c r="H9" s="141">
        <f>G9+(F9*H$3)</f>
        <v>116519.97326133674</v>
      </c>
      <c r="I9" s="108">
        <v>2061651.0099999993</v>
      </c>
      <c r="J9" s="31">
        <f>149281.23+(3100.89/1.151)</f>
        <v>151975.31340573417</v>
      </c>
      <c r="K9" s="141">
        <f>J9+(I9*K$3)</f>
        <v>242791.04039623414</v>
      </c>
      <c r="L9" s="43"/>
    </row>
    <row r="10" spans="2:12" x14ac:dyDescent="0.3">
      <c r="B10" s="46"/>
      <c r="C10" s="109"/>
      <c r="D10" s="45"/>
      <c r="E10" s="142"/>
      <c r="F10" s="109"/>
      <c r="G10" s="45"/>
      <c r="H10" s="142"/>
      <c r="I10" s="109"/>
      <c r="J10" s="45"/>
      <c r="K10" s="142"/>
      <c r="L10" s="43"/>
    </row>
    <row r="11" spans="2:12" x14ac:dyDescent="0.3">
      <c r="B11" s="25" t="s">
        <v>181</v>
      </c>
      <c r="C11" s="110">
        <f t="shared" ref="C11:H11" si="0">SUM(C8:C10)</f>
        <v>207140.13</v>
      </c>
      <c r="D11" s="28">
        <f t="shared" si="0"/>
        <v>189030.49782608694</v>
      </c>
      <c r="E11" s="143">
        <f t="shared" si="0"/>
        <v>198465.73074758696</v>
      </c>
      <c r="F11" s="110">
        <f t="shared" si="0"/>
        <v>694639.0500000004</v>
      </c>
      <c r="G11" s="28">
        <f t="shared" si="0"/>
        <v>156013.60221735318</v>
      </c>
      <c r="H11" s="143">
        <f t="shared" si="0"/>
        <v>188369.88916635321</v>
      </c>
      <c r="I11" s="110">
        <f t="shared" ref="I11:K11" si="1">SUM(I8:I10)</f>
        <v>1825117.5099999993</v>
      </c>
      <c r="J11" s="28">
        <f t="shared" si="1"/>
        <v>251409.98305821029</v>
      </c>
      <c r="K11" s="143">
        <f t="shared" si="1"/>
        <v>331806.40937371028</v>
      </c>
    </row>
    <row r="12" spans="2:12" x14ac:dyDescent="0.3">
      <c r="B12" s="47"/>
      <c r="C12" s="108"/>
      <c r="D12" s="31"/>
      <c r="E12" s="141"/>
      <c r="F12" s="108"/>
      <c r="G12" s="31"/>
      <c r="H12" s="141"/>
      <c r="I12" s="108"/>
      <c r="J12" s="31"/>
      <c r="K12" s="141"/>
    </row>
    <row r="13" spans="2:12" x14ac:dyDescent="0.3">
      <c r="B13" s="64" t="s">
        <v>182</v>
      </c>
      <c r="C13" s="108"/>
      <c r="D13" s="31"/>
      <c r="E13" s="141"/>
      <c r="F13" s="108"/>
      <c r="G13" s="31"/>
      <c r="H13" s="141"/>
      <c r="I13" s="108"/>
      <c r="J13" s="31"/>
      <c r="K13" s="141"/>
    </row>
    <row r="14" spans="2:12" x14ac:dyDescent="0.3">
      <c r="B14" s="46" t="s">
        <v>183</v>
      </c>
      <c r="C14" s="108">
        <f>'Expense breakdown'!D69</f>
        <v>263386</v>
      </c>
      <c r="D14" s="31">
        <f>'Expense breakdown'!D83+'Expense breakdown'!D95</f>
        <v>65176.353015873014</v>
      </c>
      <c r="E14" s="141">
        <f t="shared" ref="E14:E23" si="2">D14+(C14*$E$3)</f>
        <v>77173.585315873017</v>
      </c>
      <c r="F14" s="108">
        <f>'Expense breakdown'!E69</f>
        <v>223386</v>
      </c>
      <c r="G14" s="31">
        <f>'Expense breakdown'!E83+'Expense breakdown'!E95</f>
        <v>53750.680707070707</v>
      </c>
      <c r="H14" s="141">
        <f t="shared" ref="H14:H23" si="3">G14+(F14*H$3)</f>
        <v>64156.00058707071</v>
      </c>
      <c r="I14" s="108">
        <f>'Expense breakdown'!F69</f>
        <v>223386</v>
      </c>
      <c r="J14" s="31">
        <f>'Expense breakdown'!F83+'Expense breakdown'!F95</f>
        <v>52640.464948453613</v>
      </c>
      <c r="K14" s="141">
        <f>J14+(I14*K$3)</f>
        <v>62480.618248453611</v>
      </c>
    </row>
    <row r="15" spans="2:12" x14ac:dyDescent="0.3">
      <c r="B15" s="46" t="s">
        <v>54</v>
      </c>
      <c r="C15" s="108">
        <f>'Expense breakdown'!D133</f>
        <v>108627.83</v>
      </c>
      <c r="D15" s="31">
        <f>'Expense breakdown'!D122</f>
        <v>67668.979565217393</v>
      </c>
      <c r="E15" s="141">
        <f t="shared" si="2"/>
        <v>72616.977221717389</v>
      </c>
      <c r="F15" s="108">
        <f>'Expense breakdown'!E133</f>
        <v>19816</v>
      </c>
      <c r="G15" s="31">
        <f>'Expense breakdown'!E122</f>
        <v>67185.739824715158</v>
      </c>
      <c r="H15" s="141">
        <f t="shared" si="3"/>
        <v>68108.76910471516</v>
      </c>
      <c r="I15" s="108">
        <f>'Expense breakdown'!F133</f>
        <v>98388</v>
      </c>
      <c r="J15" s="31">
        <f>'Expense breakdown'!F122</f>
        <v>71486.638575152043</v>
      </c>
      <c r="K15" s="141">
        <f>J15+(I15*K$3)</f>
        <v>75820.629975152042</v>
      </c>
    </row>
    <row r="16" spans="2:12" x14ac:dyDescent="0.3">
      <c r="B16" s="46" t="s">
        <v>236</v>
      </c>
      <c r="C16" s="108">
        <f>'Expense breakdown'!D143</f>
        <v>103156.84</v>
      </c>
      <c r="D16" s="31">
        <f>'Expense breakdown'!D155</f>
        <v>6755</v>
      </c>
      <c r="E16" s="141">
        <f t="shared" si="2"/>
        <v>11453.794062000001</v>
      </c>
      <c r="F16" s="108">
        <f>'Expense breakdown'!E143</f>
        <v>270391.24</v>
      </c>
      <c r="G16" s="31">
        <f>'Expense breakdown'!E155</f>
        <v>6678.3172655565295</v>
      </c>
      <c r="H16" s="141">
        <f t="shared" si="3"/>
        <v>19273.141224756531</v>
      </c>
      <c r="I16" s="108">
        <f>'Expense breakdown'!F143</f>
        <v>664950</v>
      </c>
      <c r="J16" s="31">
        <f>'Expense breakdown'!F155</f>
        <v>8285.9290334715661</v>
      </c>
      <c r="K16" s="141">
        <f t="shared" ref="K16:K21" si="4">J16+(I16*K$3)</f>
        <v>37576.976533471563</v>
      </c>
    </row>
    <row r="17" spans="2:11" x14ac:dyDescent="0.3">
      <c r="B17" s="46" t="s">
        <v>239</v>
      </c>
      <c r="C17" s="108">
        <f>'Expense breakdown'!D167</f>
        <v>172889.05</v>
      </c>
      <c r="D17" s="31">
        <f>'Expense breakdown'!D182</f>
        <v>29868.756521739135</v>
      </c>
      <c r="E17" s="141">
        <f t="shared" si="2"/>
        <v>37743.852749239137</v>
      </c>
      <c r="F17" s="108">
        <f>'Expense breakdown'!E167</f>
        <v>352764.33</v>
      </c>
      <c r="G17" s="31">
        <f>'Expense breakdown'!E182</f>
        <v>33287.036879929881</v>
      </c>
      <c r="H17" s="141">
        <f t="shared" si="3"/>
        <v>49718.799371329878</v>
      </c>
      <c r="I17" s="108">
        <f>'Expense breakdown'!F167</f>
        <v>632359.50071573607</v>
      </c>
      <c r="J17" s="31">
        <f>'Expense breakdown'!F182</f>
        <v>41376.07187749783</v>
      </c>
      <c r="K17" s="141">
        <f t="shared" si="4"/>
        <v>69231.50788402601</v>
      </c>
    </row>
    <row r="18" spans="2:11" x14ac:dyDescent="0.3">
      <c r="B18" s="46" t="s">
        <v>289</v>
      </c>
      <c r="C18" s="108">
        <v>0</v>
      </c>
      <c r="D18" s="31">
        <f>'Expense breakdown'!D192</f>
        <v>4730.9799999999996</v>
      </c>
      <c r="E18" s="141">
        <f t="shared" si="2"/>
        <v>4730.9799999999996</v>
      </c>
      <c r="F18" s="108">
        <v>0</v>
      </c>
      <c r="G18" s="31">
        <f>'Expense breakdown'!E192</f>
        <v>3446.94</v>
      </c>
      <c r="H18" s="141">
        <f t="shared" si="3"/>
        <v>3446.94</v>
      </c>
      <c r="I18" s="108">
        <v>0</v>
      </c>
      <c r="J18" s="31">
        <f>'Expense breakdown'!F192</f>
        <v>92.94</v>
      </c>
      <c r="K18" s="141">
        <f t="shared" si="4"/>
        <v>92.94</v>
      </c>
    </row>
    <row r="19" spans="2:11" x14ac:dyDescent="0.3">
      <c r="B19" s="46" t="s">
        <v>135</v>
      </c>
      <c r="C19" s="108">
        <f>'Expense breakdown'!D207</f>
        <v>33273.339999999997</v>
      </c>
      <c r="D19" s="31">
        <f>'Expense breakdown'!D199</f>
        <v>2024.6095652173913</v>
      </c>
      <c r="E19" s="141">
        <f t="shared" si="2"/>
        <v>3540.2102022173913</v>
      </c>
      <c r="F19" s="108">
        <f>'Expense breakdown'!E207</f>
        <v>34615.26</v>
      </c>
      <c r="G19" s="31">
        <f>'Expense breakdown'!E199</f>
        <v>2026.6672567922874</v>
      </c>
      <c r="H19" s="141">
        <f t="shared" si="3"/>
        <v>3639.0460675922877</v>
      </c>
      <c r="I19" s="108">
        <f>'Expense breakdown'!F207</f>
        <v>25680.78</v>
      </c>
      <c r="J19" s="31">
        <f>'Expense breakdown'!F199</f>
        <v>2024.3829192006951</v>
      </c>
      <c r="K19" s="141">
        <f t="shared" si="4"/>
        <v>3155.6212782006951</v>
      </c>
    </row>
    <row r="20" spans="2:11" x14ac:dyDescent="0.3">
      <c r="B20" s="46" t="s">
        <v>246</v>
      </c>
      <c r="C20" s="108">
        <f>'Expense breakdown'!D238</f>
        <v>126052.26</v>
      </c>
      <c r="D20" s="31">
        <f>'Expense breakdown'!D229</f>
        <v>22103.712979393789</v>
      </c>
      <c r="E20" s="141">
        <f t="shared" si="2"/>
        <v>27845.39342239379</v>
      </c>
      <c r="F20" s="108">
        <f>'Expense breakdown'!E238</f>
        <v>220489.02000000002</v>
      </c>
      <c r="G20" s="31">
        <f>'Expense breakdown'!E229</f>
        <v>17849.372906738419</v>
      </c>
      <c r="H20" s="141">
        <f>G20+(F20*H$3)</f>
        <v>28119.751458338418</v>
      </c>
      <c r="I20" s="108">
        <f>'Expense breakdown'!F238</f>
        <v>194352.6</v>
      </c>
      <c r="J20" s="31">
        <f>'Expense breakdown'!F229</f>
        <v>19949.29369023208</v>
      </c>
      <c r="K20" s="141">
        <f>J20+(I20*K$3)</f>
        <v>28510.525720232079</v>
      </c>
    </row>
    <row r="21" spans="2:11" x14ac:dyDescent="0.3">
      <c r="B21" s="46" t="s">
        <v>185</v>
      </c>
      <c r="C21" s="108">
        <f>'Expense breakdown'!D257</f>
        <v>9848.369999999999</v>
      </c>
      <c r="D21" s="31">
        <f>'Expense breakdown'!D248</f>
        <v>669.93452380952374</v>
      </c>
      <c r="E21" s="141">
        <f t="shared" si="2"/>
        <v>1118.5277773095236</v>
      </c>
      <c r="F21" s="108">
        <f>'Expense breakdown'!E257</f>
        <v>2634.81</v>
      </c>
      <c r="G21" s="31">
        <f>'Expense breakdown'!E248</f>
        <v>2776.8161616161619</v>
      </c>
      <c r="H21" s="141">
        <f t="shared" si="3"/>
        <v>2899.545611416162</v>
      </c>
      <c r="I21" s="108">
        <f>'Expense breakdown'!F257</f>
        <v>6494.77</v>
      </c>
      <c r="J21" s="31">
        <f>'Expense breakdown'!F248</f>
        <v>6519.8</v>
      </c>
      <c r="K21" s="141">
        <f t="shared" si="4"/>
        <v>6805.8946185000004</v>
      </c>
    </row>
    <row r="22" spans="2:11" x14ac:dyDescent="0.3">
      <c r="B22" s="46" t="s">
        <v>247</v>
      </c>
      <c r="C22" s="108">
        <v>0</v>
      </c>
      <c r="D22" s="31">
        <f>'Expense breakdown'!D284</f>
        <v>45902.750865217386</v>
      </c>
      <c r="E22" s="141">
        <f t="shared" si="2"/>
        <v>45902.750865217386</v>
      </c>
      <c r="F22" s="108">
        <v>0</v>
      </c>
      <c r="G22" s="31">
        <f>'Expense breakdown'!E284</f>
        <v>39719.105999999971</v>
      </c>
      <c r="H22" s="141">
        <f t="shared" si="3"/>
        <v>39719.105999999971</v>
      </c>
      <c r="I22" s="108">
        <v>0</v>
      </c>
      <c r="J22" s="31">
        <f>'Expense breakdown'!F284</f>
        <v>56402.85468931379</v>
      </c>
      <c r="K22" s="141">
        <f>J22+(I22*K$3)</f>
        <v>56402.85468931379</v>
      </c>
    </row>
    <row r="23" spans="2:11" x14ac:dyDescent="0.3">
      <c r="B23" s="46" t="s">
        <v>243</v>
      </c>
      <c r="C23" s="108">
        <f>'Expense breakdown'!D265</f>
        <v>9422.2000000000007</v>
      </c>
      <c r="D23" s="31">
        <f>'Expense breakdown'!D274</f>
        <v>1623.5049206349208</v>
      </c>
      <c r="E23" s="141">
        <f t="shared" si="2"/>
        <v>2052.686130634921</v>
      </c>
      <c r="F23" s="108">
        <f>'Expense breakdown'!E265</f>
        <v>7252.18</v>
      </c>
      <c r="G23" s="31">
        <f>'Expense breakdown'!E274</f>
        <v>1311.5783838383838</v>
      </c>
      <c r="H23" s="141">
        <f t="shared" si="3"/>
        <v>1649.384928238384</v>
      </c>
      <c r="I23" s="108">
        <f>'Expense breakdown'!F265</f>
        <v>12631.970000000001</v>
      </c>
      <c r="J23" s="31">
        <f>'Expense breakdown'!F274</f>
        <v>1684.5358762886599</v>
      </c>
      <c r="K23" s="141">
        <f>J23+(I23*K$3)</f>
        <v>2240.9741547886597</v>
      </c>
    </row>
    <row r="24" spans="2:11" x14ac:dyDescent="0.3">
      <c r="B24" s="46"/>
      <c r="C24" s="108"/>
      <c r="D24" s="31"/>
      <c r="E24" s="141"/>
      <c r="F24" s="108"/>
      <c r="G24" s="31"/>
      <c r="H24" s="141"/>
      <c r="I24" s="108"/>
      <c r="J24" s="31"/>
      <c r="K24" s="141"/>
    </row>
    <row r="25" spans="2:11" ht="20.399999999999999" customHeight="1" x14ac:dyDescent="0.3">
      <c r="B25" s="25" t="s">
        <v>186</v>
      </c>
      <c r="C25" s="111">
        <f t="shared" ref="C25:H25" si="5">SUM(C14:C24)</f>
        <v>826655.8899999999</v>
      </c>
      <c r="D25" s="33">
        <f t="shared" si="5"/>
        <v>246524.58195710252</v>
      </c>
      <c r="E25" s="144">
        <f t="shared" si="5"/>
        <v>284178.75774660258</v>
      </c>
      <c r="F25" s="111">
        <f t="shared" si="5"/>
        <v>1131348.8400000001</v>
      </c>
      <c r="G25" s="33">
        <f t="shared" si="5"/>
        <v>228032.25538625749</v>
      </c>
      <c r="H25" s="144">
        <f t="shared" si="5"/>
        <v>280730.48435345752</v>
      </c>
      <c r="I25" s="111">
        <f>SUM(I14:I24)</f>
        <v>1858243.6207157362</v>
      </c>
      <c r="J25" s="33">
        <f t="shared" ref="J25:K25" si="6">SUM(J14:J24)</f>
        <v>260462.91160961025</v>
      </c>
      <c r="K25" s="144">
        <f t="shared" si="6"/>
        <v>342318.5431021385</v>
      </c>
    </row>
    <row r="26" spans="2:11" x14ac:dyDescent="0.3">
      <c r="B26" s="47"/>
      <c r="C26" s="109"/>
      <c r="D26" s="34"/>
      <c r="E26" s="142"/>
      <c r="F26" s="109"/>
      <c r="G26" s="34"/>
      <c r="H26" s="142"/>
      <c r="I26" s="109"/>
      <c r="J26" s="34"/>
      <c r="K26" s="142"/>
    </row>
    <row r="27" spans="2:11" s="24" customFormat="1" ht="26.1" customHeight="1" thickBot="1" x14ac:dyDescent="0.35">
      <c r="B27" s="60"/>
      <c r="C27" s="112">
        <f t="shared" ref="C27:G27" si="7">C11-C25</f>
        <v>-619515.75999999989</v>
      </c>
      <c r="D27" s="37">
        <f t="shared" si="7"/>
        <v>-57494.084131015581</v>
      </c>
      <c r="E27" s="145">
        <f t="shared" si="7"/>
        <v>-85713.026999015623</v>
      </c>
      <c r="F27" s="112">
        <f t="shared" si="7"/>
        <v>-436709.78999999969</v>
      </c>
      <c r="G27" s="37">
        <f t="shared" si="7"/>
        <v>-72018.653168904304</v>
      </c>
      <c r="H27" s="145">
        <f>H11-H25</f>
        <v>-92360.595187104307</v>
      </c>
      <c r="I27" s="112">
        <f t="shared" ref="I27:J27" si="8">I11-I25</f>
        <v>-33126.110715736868</v>
      </c>
      <c r="J27" s="37">
        <f t="shared" si="8"/>
        <v>-9052.9285513999639</v>
      </c>
      <c r="K27" s="145">
        <f>K11-K25</f>
        <v>-10512.13372842822</v>
      </c>
    </row>
    <row r="28" spans="2:11" x14ac:dyDescent="0.3">
      <c r="C28" s="44"/>
      <c r="D28" s="44"/>
      <c r="E28" s="44"/>
      <c r="F28" s="44"/>
      <c r="G28" s="44"/>
      <c r="H28" s="44"/>
      <c r="I28" s="44"/>
      <c r="J28" s="44"/>
      <c r="K28" s="44"/>
    </row>
    <row r="29" spans="2:11" x14ac:dyDescent="0.3">
      <c r="C29" s="154"/>
      <c r="D29" s="104"/>
      <c r="E29" s="104"/>
      <c r="F29" s="104"/>
      <c r="G29" s="104"/>
      <c r="H29" s="104"/>
      <c r="I29" s="104"/>
      <c r="J29" s="104"/>
      <c r="K29" s="104"/>
    </row>
    <row r="30" spans="2:11" x14ac:dyDescent="0.3">
      <c r="C30" s="155"/>
      <c r="D30" s="105"/>
      <c r="E30" s="104"/>
      <c r="F30" s="104"/>
      <c r="G30" s="104"/>
      <c r="H30" s="104"/>
      <c r="I30" s="104"/>
      <c r="J30" s="104"/>
      <c r="K30" s="104"/>
    </row>
    <row r="31" spans="2:11" x14ac:dyDescent="0.3">
      <c r="C31" s="155"/>
      <c r="D31" s="66"/>
      <c r="E31" s="66"/>
      <c r="F31" s="104"/>
      <c r="G31" s="66"/>
      <c r="H31" s="66"/>
      <c r="I31" s="104"/>
      <c r="J31" s="66"/>
      <c r="K31" s="66"/>
    </row>
    <row r="32" spans="2:11" x14ac:dyDescent="0.3">
      <c r="C32" s="156"/>
      <c r="D32" s="66"/>
      <c r="E32" s="66"/>
      <c r="F32" s="66"/>
      <c r="G32" s="66"/>
      <c r="H32" s="66"/>
      <c r="I32" s="66"/>
      <c r="J32" s="66"/>
      <c r="K32" s="66"/>
    </row>
    <row r="33" spans="3:11" x14ac:dyDescent="0.3">
      <c r="C33" s="157"/>
      <c r="D33" s="66"/>
      <c r="E33" s="66"/>
      <c r="F33" s="66"/>
      <c r="G33" s="66"/>
      <c r="H33" s="66"/>
      <c r="I33" s="66"/>
      <c r="J33" s="66"/>
      <c r="K33" s="66"/>
    </row>
    <row r="34" spans="3:11" x14ac:dyDescent="0.3">
      <c r="C34" s="154"/>
      <c r="D34" s="66"/>
      <c r="E34" s="66"/>
      <c r="F34" s="66"/>
      <c r="G34" s="66"/>
      <c r="H34" s="66"/>
      <c r="I34" s="66"/>
      <c r="J34" s="66"/>
      <c r="K34" s="66"/>
    </row>
    <row r="35" spans="3:11" x14ac:dyDescent="0.3">
      <c r="C35" s="154"/>
      <c r="D35" s="66"/>
      <c r="E35" s="66"/>
      <c r="F35" s="66"/>
      <c r="G35" s="66"/>
      <c r="H35" s="66"/>
      <c r="I35" s="66"/>
      <c r="J35" s="66"/>
      <c r="K35" s="66"/>
    </row>
    <row r="36" spans="3:11" x14ac:dyDescent="0.3">
      <c r="C36" s="154"/>
      <c r="D36" s="66"/>
      <c r="E36" s="66"/>
      <c r="F36" s="66"/>
      <c r="G36" s="66"/>
      <c r="H36" s="66"/>
      <c r="I36" s="66"/>
      <c r="J36" s="66"/>
      <c r="K36" s="66"/>
    </row>
    <row r="37" spans="3:11" x14ac:dyDescent="0.3">
      <c r="C37" s="154"/>
      <c r="D37" s="66"/>
      <c r="E37" s="66"/>
      <c r="F37" s="66"/>
      <c r="G37" s="66"/>
      <c r="H37" s="66"/>
      <c r="I37" s="66"/>
      <c r="J37" s="66"/>
      <c r="K37" s="66"/>
    </row>
    <row r="38" spans="3:11" x14ac:dyDescent="0.3">
      <c r="C38" s="154"/>
      <c r="D38" s="66"/>
      <c r="E38" s="66"/>
      <c r="F38" s="66"/>
      <c r="G38" s="66"/>
      <c r="H38" s="66"/>
      <c r="I38" s="66"/>
      <c r="J38" s="66"/>
      <c r="K38" s="66"/>
    </row>
    <row r="39" spans="3:11" x14ac:dyDescent="0.3">
      <c r="C39" s="66"/>
      <c r="D39" s="66"/>
      <c r="E39" s="66"/>
      <c r="F39" s="66"/>
      <c r="G39" s="66"/>
      <c r="H39" s="66"/>
      <c r="I39" s="66"/>
      <c r="J39" s="66"/>
      <c r="K39" s="66"/>
    </row>
    <row r="40" spans="3:11" x14ac:dyDescent="0.3">
      <c r="C40" s="66"/>
      <c r="D40" s="66"/>
      <c r="E40" s="66"/>
      <c r="F40" s="66"/>
      <c r="G40" s="66"/>
      <c r="H40" s="66"/>
      <c r="I40" s="66"/>
      <c r="J40" s="66"/>
      <c r="K40" s="66"/>
    </row>
    <row r="41" spans="3:11" x14ac:dyDescent="0.3">
      <c r="C41" s="66"/>
      <c r="D41" s="66"/>
      <c r="E41" s="66"/>
      <c r="F41" s="66"/>
      <c r="G41" s="66"/>
      <c r="H41" s="66"/>
      <c r="I41" s="66"/>
      <c r="J41" s="66"/>
      <c r="K41" s="66"/>
    </row>
    <row r="42" spans="3:11" x14ac:dyDescent="0.3">
      <c r="C42" s="66"/>
      <c r="D42" s="66"/>
      <c r="E42" s="66"/>
      <c r="F42" s="66"/>
      <c r="G42" s="66"/>
      <c r="H42" s="66"/>
      <c r="I42" s="66"/>
      <c r="J42" s="66"/>
      <c r="K42" s="66"/>
    </row>
    <row r="43" spans="3:11" x14ac:dyDescent="0.3">
      <c r="C43" s="66"/>
      <c r="D43" s="66"/>
      <c r="E43" s="66"/>
      <c r="F43" s="66"/>
      <c r="G43" s="66"/>
      <c r="H43" s="66"/>
      <c r="I43" s="66"/>
      <c r="J43" s="66"/>
      <c r="K43" s="66"/>
    </row>
    <row r="44" spans="3:11" x14ac:dyDescent="0.3">
      <c r="C44" s="66"/>
      <c r="D44" s="66"/>
      <c r="E44" s="66"/>
      <c r="F44" s="66"/>
      <c r="G44" s="66"/>
      <c r="H44" s="66"/>
      <c r="I44" s="66"/>
      <c r="J44" s="66"/>
      <c r="K44" s="66"/>
    </row>
    <row r="45" spans="3:11" x14ac:dyDescent="0.3">
      <c r="C45" s="66"/>
      <c r="D45" s="66"/>
      <c r="E45" s="66"/>
      <c r="F45" s="66"/>
      <c r="G45" s="66"/>
      <c r="H45" s="66"/>
      <c r="I45" s="66"/>
      <c r="J45" s="66"/>
      <c r="K45" s="66"/>
    </row>
    <row r="46" spans="3:11" x14ac:dyDescent="0.3">
      <c r="C46" s="66"/>
      <c r="D46" s="66"/>
      <c r="E46" s="66"/>
      <c r="F46" s="66"/>
      <c r="G46" s="66"/>
      <c r="H46" s="66"/>
      <c r="I46" s="66"/>
      <c r="J46" s="66"/>
      <c r="K46" s="66"/>
    </row>
    <row r="47" spans="3:11" x14ac:dyDescent="0.3">
      <c r="C47" s="66"/>
      <c r="D47" s="66"/>
      <c r="E47" s="66"/>
      <c r="F47" s="66"/>
      <c r="G47" s="66"/>
      <c r="H47" s="66"/>
      <c r="I47" s="66"/>
      <c r="J47" s="66"/>
      <c r="K47" s="66"/>
    </row>
    <row r="48" spans="3:11" x14ac:dyDescent="0.3">
      <c r="C48" s="66"/>
      <c r="D48" s="66"/>
      <c r="E48" s="66"/>
      <c r="F48" s="66"/>
      <c r="G48" s="66"/>
      <c r="H48" s="66"/>
      <c r="I48" s="66"/>
      <c r="J48" s="66"/>
      <c r="K48" s="66"/>
    </row>
    <row r="49" spans="3:11" x14ac:dyDescent="0.3">
      <c r="C49" s="66"/>
      <c r="D49" s="66"/>
      <c r="E49" s="66"/>
      <c r="F49" s="66"/>
      <c r="G49" s="66"/>
      <c r="H49" s="66"/>
      <c r="I49" s="66"/>
      <c r="J49" s="66"/>
      <c r="K49" s="66"/>
    </row>
    <row r="50" spans="3:11" x14ac:dyDescent="0.3">
      <c r="C50" s="66"/>
      <c r="D50" s="66"/>
      <c r="E50" s="66"/>
      <c r="F50" s="66"/>
      <c r="G50" s="66"/>
      <c r="H50" s="66"/>
      <c r="I50" s="66"/>
      <c r="J50" s="66"/>
      <c r="K50" s="66"/>
    </row>
    <row r="51" spans="3:11" x14ac:dyDescent="0.3">
      <c r="C51" s="66"/>
      <c r="D51" s="66"/>
      <c r="E51" s="66"/>
      <c r="F51" s="66"/>
      <c r="G51" s="66"/>
      <c r="H51" s="66"/>
      <c r="I51" s="66"/>
      <c r="J51" s="66"/>
      <c r="K51" s="66"/>
    </row>
    <row r="52" spans="3:11" x14ac:dyDescent="0.3">
      <c r="C52" s="66"/>
      <c r="D52" s="66"/>
      <c r="E52" s="66"/>
      <c r="F52" s="66"/>
      <c r="G52" s="66"/>
      <c r="H52" s="66"/>
      <c r="I52" s="66"/>
      <c r="J52" s="66"/>
      <c r="K52" s="66"/>
    </row>
    <row r="53" spans="3:11" x14ac:dyDescent="0.3">
      <c r="C53" s="66"/>
      <c r="D53" s="66"/>
      <c r="E53" s="66"/>
      <c r="F53" s="66"/>
      <c r="G53" s="66"/>
      <c r="H53" s="66"/>
      <c r="I53" s="66"/>
      <c r="J53" s="66"/>
      <c r="K53" s="66"/>
    </row>
    <row r="54" spans="3:11" x14ac:dyDescent="0.3">
      <c r="C54" s="66"/>
      <c r="D54" s="66"/>
      <c r="E54" s="66"/>
      <c r="F54" s="66"/>
      <c r="G54" s="66"/>
      <c r="H54" s="66"/>
      <c r="I54" s="66"/>
      <c r="J54" s="66"/>
      <c r="K54" s="66"/>
    </row>
    <row r="55" spans="3:11" x14ac:dyDescent="0.3">
      <c r="C55" s="66"/>
      <c r="D55" s="66"/>
      <c r="E55" s="66"/>
      <c r="F55" s="66"/>
      <c r="G55" s="66"/>
      <c r="H55" s="66"/>
      <c r="I55" s="66"/>
      <c r="J55" s="66"/>
      <c r="K55" s="66"/>
    </row>
    <row r="56" spans="3:11" x14ac:dyDescent="0.3">
      <c r="C56" s="66"/>
      <c r="D56" s="66"/>
      <c r="E56" s="66"/>
      <c r="F56" s="66"/>
      <c r="G56" s="66"/>
      <c r="H56" s="66"/>
      <c r="I56" s="66"/>
      <c r="J56" s="66"/>
      <c r="K56" s="66"/>
    </row>
    <row r="57" spans="3:11" x14ac:dyDescent="0.3">
      <c r="C57" s="66"/>
      <c r="D57" s="66"/>
      <c r="E57" s="66"/>
      <c r="F57" s="66"/>
      <c r="G57" s="66"/>
      <c r="H57" s="66"/>
      <c r="I57" s="66"/>
      <c r="J57" s="66"/>
      <c r="K57" s="66"/>
    </row>
    <row r="58" spans="3:11" x14ac:dyDescent="0.3">
      <c r="C58" s="66"/>
      <c r="D58" s="66"/>
      <c r="E58" s="66"/>
      <c r="F58" s="66"/>
      <c r="G58" s="66"/>
      <c r="H58" s="66"/>
      <c r="I58" s="66"/>
      <c r="J58" s="66"/>
      <c r="K58" s="66"/>
    </row>
    <row r="59" spans="3:11" x14ac:dyDescent="0.3">
      <c r="C59" s="66"/>
      <c r="D59" s="66"/>
      <c r="E59" s="66"/>
      <c r="F59" s="66"/>
      <c r="G59" s="66"/>
      <c r="H59" s="66"/>
      <c r="I59" s="66"/>
      <c r="J59" s="66"/>
      <c r="K59" s="66"/>
    </row>
    <row r="60" spans="3:11" x14ac:dyDescent="0.3">
      <c r="C60" s="66"/>
      <c r="D60" s="66"/>
      <c r="E60" s="66"/>
      <c r="F60" s="66"/>
      <c r="G60" s="66"/>
      <c r="H60" s="66"/>
      <c r="I60" s="66"/>
      <c r="J60" s="66"/>
      <c r="K60" s="66"/>
    </row>
    <row r="61" spans="3:11" x14ac:dyDescent="0.3">
      <c r="C61" s="66"/>
      <c r="D61" s="66"/>
      <c r="E61" s="66"/>
      <c r="F61" s="66"/>
      <c r="G61" s="66"/>
      <c r="H61" s="66"/>
      <c r="I61" s="66"/>
      <c r="J61" s="66"/>
      <c r="K61" s="66"/>
    </row>
    <row r="62" spans="3:11" x14ac:dyDescent="0.3">
      <c r="C62" s="66"/>
      <c r="D62" s="66"/>
      <c r="E62" s="66"/>
      <c r="F62" s="66"/>
      <c r="G62" s="66"/>
      <c r="H62" s="66"/>
      <c r="I62" s="66"/>
      <c r="J62" s="66"/>
      <c r="K62" s="66"/>
    </row>
    <row r="63" spans="3:11" x14ac:dyDescent="0.3">
      <c r="C63" s="66"/>
      <c r="D63" s="66"/>
      <c r="E63" s="66"/>
      <c r="F63" s="66"/>
      <c r="G63" s="66"/>
      <c r="H63" s="66"/>
      <c r="I63" s="66"/>
      <c r="J63" s="66"/>
      <c r="K63" s="66"/>
    </row>
    <row r="64" spans="3:11" x14ac:dyDescent="0.3">
      <c r="C64" s="66"/>
      <c r="D64" s="66"/>
      <c r="E64" s="66"/>
      <c r="F64" s="66"/>
      <c r="G64" s="66"/>
      <c r="H64" s="66"/>
      <c r="I64" s="66"/>
      <c r="J64" s="66"/>
      <c r="K64" s="66"/>
    </row>
    <row r="65" spans="3:11" x14ac:dyDescent="0.3">
      <c r="C65" s="66"/>
      <c r="D65" s="66"/>
      <c r="E65" s="66"/>
      <c r="F65" s="66"/>
      <c r="G65" s="66"/>
      <c r="H65" s="66"/>
      <c r="I65" s="66"/>
      <c r="J65" s="66"/>
      <c r="K65" s="66"/>
    </row>
    <row r="66" spans="3:11" x14ac:dyDescent="0.3">
      <c r="C66" s="66"/>
      <c r="D66" s="66"/>
      <c r="E66" s="66"/>
      <c r="F66" s="66"/>
      <c r="G66" s="66"/>
      <c r="H66" s="66"/>
      <c r="I66" s="66"/>
      <c r="J66" s="66"/>
      <c r="K66" s="66"/>
    </row>
    <row r="67" spans="3:11" x14ac:dyDescent="0.3">
      <c r="C67" s="66"/>
      <c r="D67" s="66"/>
      <c r="E67" s="66"/>
      <c r="F67" s="66"/>
      <c r="G67" s="66"/>
      <c r="H67" s="66"/>
      <c r="I67" s="66"/>
      <c r="J67" s="66"/>
      <c r="K67" s="66"/>
    </row>
    <row r="68" spans="3:11" x14ac:dyDescent="0.3">
      <c r="C68" s="66"/>
      <c r="D68" s="66"/>
      <c r="E68" s="66"/>
      <c r="F68" s="66"/>
      <c r="G68" s="66"/>
      <c r="H68" s="66"/>
      <c r="I68" s="66"/>
      <c r="J68" s="66"/>
      <c r="K68" s="66"/>
    </row>
    <row r="69" spans="3:11" x14ac:dyDescent="0.3">
      <c r="C69" s="66"/>
      <c r="D69" s="66"/>
      <c r="E69" s="66"/>
      <c r="F69" s="66"/>
      <c r="G69" s="66"/>
      <c r="H69" s="66"/>
      <c r="I69" s="66"/>
      <c r="J69" s="66"/>
      <c r="K69" s="66"/>
    </row>
    <row r="70" spans="3:11" x14ac:dyDescent="0.3">
      <c r="C70" s="66"/>
      <c r="D70" s="66"/>
      <c r="E70" s="66"/>
      <c r="F70" s="66"/>
      <c r="G70" s="66"/>
      <c r="H70" s="66"/>
      <c r="I70" s="66"/>
      <c r="J70" s="66"/>
      <c r="K70" s="66"/>
    </row>
    <row r="71" spans="3:11" x14ac:dyDescent="0.3">
      <c r="C71" s="66"/>
      <c r="D71" s="66"/>
      <c r="E71" s="66"/>
      <c r="F71" s="66"/>
      <c r="G71" s="66"/>
      <c r="H71" s="66"/>
      <c r="I71" s="66"/>
      <c r="J71" s="66"/>
      <c r="K71" s="66"/>
    </row>
    <row r="72" spans="3:11" x14ac:dyDescent="0.3">
      <c r="C72" s="66"/>
      <c r="D72" s="66"/>
      <c r="E72" s="66"/>
      <c r="F72" s="66"/>
      <c r="G72" s="66"/>
      <c r="H72" s="66"/>
      <c r="I72" s="66"/>
      <c r="J72" s="66"/>
      <c r="K72" s="66"/>
    </row>
    <row r="73" spans="3:11" x14ac:dyDescent="0.3">
      <c r="C73" s="66"/>
      <c r="D73" s="66"/>
      <c r="E73" s="66"/>
      <c r="F73" s="66"/>
      <c r="G73" s="66"/>
      <c r="H73" s="66"/>
      <c r="I73" s="66"/>
      <c r="J73" s="66"/>
      <c r="K73" s="66"/>
    </row>
    <row r="74" spans="3:11" x14ac:dyDescent="0.3">
      <c r="C74" s="66"/>
      <c r="D74" s="66"/>
      <c r="E74" s="66"/>
      <c r="F74" s="66"/>
      <c r="G74" s="66"/>
      <c r="H74" s="66"/>
      <c r="I74" s="66"/>
      <c r="J74" s="66"/>
      <c r="K74" s="66"/>
    </row>
  </sheetData>
  <mergeCells count="6">
    <mergeCell ref="B1:K1"/>
    <mergeCell ref="G2:H2"/>
    <mergeCell ref="C5:E5"/>
    <mergeCell ref="F5:H5"/>
    <mergeCell ref="J2:K2"/>
    <mergeCell ref="I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D3A9-8F42-1F4D-8486-6ECE52EE0DA7}">
  <dimension ref="A1:H99"/>
  <sheetViews>
    <sheetView topLeftCell="A78" zoomScaleNormal="100" workbookViewId="0">
      <selection activeCell="B3" sqref="B3"/>
    </sheetView>
  </sheetViews>
  <sheetFormatPr defaultColWidth="11.19921875" defaultRowHeight="14.4" x14ac:dyDescent="0.3"/>
  <cols>
    <col min="1" max="1" width="33.296875" style="42" bestFit="1" customWidth="1"/>
    <col min="2" max="2" width="13.19921875" style="42" customWidth="1"/>
    <col min="3" max="3" width="12.796875" style="82" customWidth="1"/>
    <col min="4" max="4" width="14" style="42" customWidth="1"/>
    <col min="5" max="5" width="14.69921875" style="42" customWidth="1"/>
    <col min="6" max="16384" width="11.19921875" style="42"/>
  </cols>
  <sheetData>
    <row r="1" spans="1:8" x14ac:dyDescent="0.3">
      <c r="A1" s="100"/>
      <c r="B1" s="101" t="s">
        <v>209</v>
      </c>
      <c r="C1" s="101" t="s">
        <v>66</v>
      </c>
      <c r="D1" s="75" t="s">
        <v>67</v>
      </c>
      <c r="E1" s="76" t="s">
        <v>153</v>
      </c>
    </row>
    <row r="2" spans="1:8" x14ac:dyDescent="0.3">
      <c r="A2" s="46"/>
      <c r="B2" s="77"/>
      <c r="C2" s="78"/>
      <c r="D2" s="79"/>
      <c r="E2" s="79"/>
      <c r="G2" s="42" t="s">
        <v>148</v>
      </c>
    </row>
    <row r="3" spans="1:8" x14ac:dyDescent="0.3">
      <c r="A3" s="80" t="s">
        <v>68</v>
      </c>
      <c r="B3" s="77"/>
      <c r="C3" s="78"/>
      <c r="D3" s="79"/>
      <c r="E3" s="79"/>
      <c r="G3" s="42" t="s">
        <v>150</v>
      </c>
      <c r="H3" s="42">
        <v>0.2</v>
      </c>
    </row>
    <row r="4" spans="1:8" x14ac:dyDescent="0.3">
      <c r="A4" s="81" t="s">
        <v>69</v>
      </c>
      <c r="B4" s="77">
        <v>-278760</v>
      </c>
      <c r="D4" s="79">
        <v>67652.510000000009</v>
      </c>
      <c r="E4" s="79"/>
    </row>
    <row r="5" spans="1:8" x14ac:dyDescent="0.3">
      <c r="A5" s="81" t="s">
        <v>70</v>
      </c>
      <c r="B5" s="77">
        <v>940986</v>
      </c>
      <c r="D5" s="79">
        <v>42555.92</v>
      </c>
      <c r="E5" s="79"/>
    </row>
    <row r="6" spans="1:8" x14ac:dyDescent="0.3">
      <c r="A6" s="81" t="s">
        <v>146</v>
      </c>
      <c r="B6" s="77"/>
      <c r="C6" s="78">
        <v>21365.279999999999</v>
      </c>
      <c r="D6" s="79">
        <v>18587.793599999997</v>
      </c>
      <c r="E6" s="79"/>
    </row>
    <row r="7" spans="1:8" x14ac:dyDescent="0.3">
      <c r="A7" s="81" t="s">
        <v>147</v>
      </c>
      <c r="B7" s="77"/>
      <c r="C7" s="78">
        <v>8427.2999999999975</v>
      </c>
      <c r="D7" s="79">
        <v>7331.7509999999975</v>
      </c>
      <c r="E7" s="79"/>
    </row>
    <row r="8" spans="1:8" x14ac:dyDescent="0.3">
      <c r="A8" s="46"/>
      <c r="B8" s="77"/>
      <c r="C8" s="78"/>
      <c r="D8" s="79"/>
      <c r="E8" s="79"/>
    </row>
    <row r="9" spans="1:8" ht="15" thickBot="1" x14ac:dyDescent="0.35">
      <c r="A9" s="46" t="s">
        <v>71</v>
      </c>
      <c r="B9" s="83"/>
      <c r="C9" s="84"/>
      <c r="D9" s="85"/>
      <c r="E9" s="85">
        <f>20000+610.2+463.45+7500</f>
        <v>28573.65</v>
      </c>
    </row>
    <row r="10" spans="1:8" x14ac:dyDescent="0.3">
      <c r="A10" s="86" t="s">
        <v>72</v>
      </c>
      <c r="B10" s="87">
        <f>SUM(B3:B9)</f>
        <v>662226</v>
      </c>
      <c r="C10" s="88">
        <f>SUM(C3:C9)</f>
        <v>29792.579999999994</v>
      </c>
      <c r="D10" s="89">
        <v>136127.97459999999</v>
      </c>
      <c r="E10" s="89">
        <f>SUM(E3:E9)</f>
        <v>28573.65</v>
      </c>
    </row>
    <row r="11" spans="1:8" x14ac:dyDescent="0.3">
      <c r="A11" s="46"/>
      <c r="B11" s="77"/>
      <c r="C11" s="78"/>
      <c r="D11" s="79"/>
      <c r="E11" s="79"/>
    </row>
    <row r="12" spans="1:8" x14ac:dyDescent="0.3">
      <c r="A12" s="90" t="s">
        <v>73</v>
      </c>
      <c r="B12" s="91"/>
      <c r="C12" s="92"/>
      <c r="D12" s="93"/>
      <c r="E12" s="93"/>
    </row>
    <row r="13" spans="1:8" x14ac:dyDescent="0.3">
      <c r="A13" s="46" t="s">
        <v>74</v>
      </c>
      <c r="B13" s="77"/>
      <c r="C13" s="78"/>
      <c r="D13" s="79"/>
      <c r="E13" s="79"/>
    </row>
    <row r="14" spans="1:8" x14ac:dyDescent="0.3">
      <c r="A14" s="80" t="s">
        <v>75</v>
      </c>
      <c r="B14" s="77"/>
      <c r="C14" s="78"/>
      <c r="D14" s="79"/>
      <c r="E14" s="79"/>
    </row>
    <row r="15" spans="1:8" x14ac:dyDescent="0.3">
      <c r="A15" s="81" t="s">
        <v>76</v>
      </c>
      <c r="B15" s="77"/>
      <c r="C15" s="78"/>
      <c r="D15" s="79">
        <v>15000</v>
      </c>
      <c r="E15" s="79"/>
    </row>
    <row r="16" spans="1:8" x14ac:dyDescent="0.3">
      <c r="A16" s="81" t="s">
        <v>77</v>
      </c>
      <c r="B16" s="77"/>
      <c r="C16" s="78"/>
      <c r="D16" s="79">
        <v>11023.82</v>
      </c>
      <c r="E16" s="79"/>
    </row>
    <row r="17" spans="1:5" x14ac:dyDescent="0.3">
      <c r="A17" s="81" t="s">
        <v>78</v>
      </c>
      <c r="B17" s="77"/>
      <c r="C17" s="78"/>
      <c r="D17" s="79">
        <v>4000</v>
      </c>
      <c r="E17" s="79"/>
    </row>
    <row r="18" spans="1:5" x14ac:dyDescent="0.3">
      <c r="A18" s="81" t="s">
        <v>79</v>
      </c>
      <c r="B18" s="77"/>
      <c r="C18" s="78"/>
      <c r="D18" s="79">
        <v>1404.44</v>
      </c>
      <c r="E18" s="79"/>
    </row>
    <row r="19" spans="1:5" x14ac:dyDescent="0.3">
      <c r="A19" s="81" t="s">
        <v>80</v>
      </c>
      <c r="B19" s="77">
        <v>17000</v>
      </c>
      <c r="C19" s="78"/>
      <c r="D19" s="79"/>
      <c r="E19" s="79"/>
    </row>
    <row r="20" spans="1:5" x14ac:dyDescent="0.3">
      <c r="A20" s="81" t="s">
        <v>81</v>
      </c>
      <c r="B20" s="77">
        <f>1200/0.05108</f>
        <v>23492.560689115115</v>
      </c>
      <c r="C20" s="78"/>
      <c r="D20" s="79"/>
      <c r="E20" s="79"/>
    </row>
    <row r="21" spans="1:5" x14ac:dyDescent="0.3">
      <c r="A21" s="81"/>
      <c r="B21" s="77"/>
      <c r="C21" s="78"/>
      <c r="D21" s="79"/>
      <c r="E21" s="79"/>
    </row>
    <row r="22" spans="1:5" x14ac:dyDescent="0.3">
      <c r="A22" s="80" t="s">
        <v>82</v>
      </c>
      <c r="B22" s="77"/>
      <c r="C22" s="78"/>
      <c r="D22" s="79"/>
      <c r="E22" s="79"/>
    </row>
    <row r="23" spans="1:5" x14ac:dyDescent="0.3">
      <c r="A23" s="81" t="s">
        <v>63</v>
      </c>
      <c r="B23" s="77"/>
      <c r="C23" s="78"/>
      <c r="D23" s="79">
        <f>70000-27500</f>
        <v>42500</v>
      </c>
      <c r="E23" s="79">
        <v>7500</v>
      </c>
    </row>
    <row r="24" spans="1:5" x14ac:dyDescent="0.3">
      <c r="A24" s="81" t="s">
        <v>149</v>
      </c>
      <c r="B24" s="77"/>
      <c r="C24" s="78"/>
      <c r="D24" s="79">
        <v>0</v>
      </c>
      <c r="E24" s="79"/>
    </row>
    <row r="25" spans="1:5" x14ac:dyDescent="0.3">
      <c r="A25" s="81"/>
      <c r="B25" s="77"/>
      <c r="C25" s="78"/>
      <c r="D25" s="79"/>
      <c r="E25" s="79"/>
    </row>
    <row r="26" spans="1:5" x14ac:dyDescent="0.3">
      <c r="A26" s="80" t="s">
        <v>83</v>
      </c>
      <c r="B26" s="77"/>
      <c r="C26" s="78"/>
      <c r="D26" s="79"/>
      <c r="E26" s="79"/>
    </row>
    <row r="27" spans="1:5" x14ac:dyDescent="0.3">
      <c r="A27" s="94" t="s">
        <v>84</v>
      </c>
      <c r="B27" s="77"/>
      <c r="C27" s="78"/>
      <c r="D27" s="79"/>
      <c r="E27" s="79"/>
    </row>
    <row r="28" spans="1:5" x14ac:dyDescent="0.3">
      <c r="A28" s="81" t="s">
        <v>85</v>
      </c>
      <c r="B28" s="77"/>
      <c r="C28" s="78"/>
      <c r="D28" s="79">
        <v>2120.19</v>
      </c>
      <c r="E28" s="79"/>
    </row>
    <row r="29" spans="1:5" x14ac:dyDescent="0.3">
      <c r="A29" s="81" t="s">
        <v>86</v>
      </c>
      <c r="B29" s="77"/>
      <c r="C29" s="78"/>
      <c r="D29" s="79">
        <v>1555.6296</v>
      </c>
      <c r="E29" s="79"/>
    </row>
    <row r="30" spans="1:5" x14ac:dyDescent="0.3">
      <c r="A30" s="81" t="s">
        <v>87</v>
      </c>
      <c r="B30" s="77"/>
      <c r="C30" s="78"/>
      <c r="D30" s="79">
        <v>2175</v>
      </c>
      <c r="E30" s="79"/>
    </row>
    <row r="31" spans="1:5" x14ac:dyDescent="0.3">
      <c r="A31" s="81" t="s">
        <v>88</v>
      </c>
      <c r="B31" s="77"/>
      <c r="C31" s="78"/>
      <c r="D31" s="79">
        <v>4785.87</v>
      </c>
      <c r="E31" s="79"/>
    </row>
    <row r="32" spans="1:5" x14ac:dyDescent="0.3">
      <c r="A32" s="81" t="s">
        <v>89</v>
      </c>
      <c r="B32" s="77"/>
      <c r="C32" s="78"/>
      <c r="D32" s="79">
        <v>1408.53</v>
      </c>
      <c r="E32" s="79"/>
    </row>
    <row r="33" spans="1:5" x14ac:dyDescent="0.3">
      <c r="A33" s="94" t="s">
        <v>90</v>
      </c>
      <c r="B33" s="77"/>
      <c r="C33" s="78"/>
      <c r="D33" s="79"/>
      <c r="E33" s="79"/>
    </row>
    <row r="34" spans="1:5" x14ac:dyDescent="0.3">
      <c r="A34" s="81" t="s">
        <v>91</v>
      </c>
      <c r="B34" s="77"/>
      <c r="C34" s="78"/>
      <c r="D34" s="79">
        <v>3743.7666000000004</v>
      </c>
      <c r="E34" s="79"/>
    </row>
    <row r="35" spans="1:5" x14ac:dyDescent="0.3">
      <c r="A35" s="81" t="s">
        <v>92</v>
      </c>
      <c r="B35" s="77"/>
      <c r="C35" s="78"/>
      <c r="D35" s="79">
        <v>37.474000000000004</v>
      </c>
      <c r="E35" s="79"/>
    </row>
    <row r="36" spans="1:5" x14ac:dyDescent="0.3">
      <c r="A36" s="81" t="s">
        <v>93</v>
      </c>
      <c r="B36" s="77"/>
      <c r="C36" s="78"/>
      <c r="D36" s="79">
        <v>175.75200000000001</v>
      </c>
      <c r="E36" s="79"/>
    </row>
    <row r="37" spans="1:5" x14ac:dyDescent="0.3">
      <c r="A37" s="81" t="s">
        <v>94</v>
      </c>
      <c r="B37" s="77"/>
      <c r="C37" s="78"/>
      <c r="D37" s="79">
        <v>674.19599999999991</v>
      </c>
      <c r="E37" s="79"/>
    </row>
    <row r="38" spans="1:5" x14ac:dyDescent="0.3">
      <c r="A38" s="81" t="s">
        <v>95</v>
      </c>
      <c r="B38" s="77"/>
      <c r="C38" s="78"/>
      <c r="D38" s="79">
        <v>100.64</v>
      </c>
      <c r="E38" s="79"/>
    </row>
    <row r="39" spans="1:5" x14ac:dyDescent="0.3">
      <c r="A39" s="81" t="s">
        <v>96</v>
      </c>
      <c r="B39" s="77"/>
      <c r="C39" s="78"/>
      <c r="D39" s="79">
        <v>414.86399999999998</v>
      </c>
      <c r="E39" s="79"/>
    </row>
    <row r="40" spans="1:5" x14ac:dyDescent="0.3">
      <c r="A40" s="81" t="s">
        <v>97</v>
      </c>
      <c r="B40" s="77"/>
      <c r="C40" s="78"/>
      <c r="D40" s="79">
        <v>60.436000000000007</v>
      </c>
      <c r="E40" s="79"/>
    </row>
    <row r="41" spans="1:5" x14ac:dyDescent="0.3">
      <c r="A41" s="94" t="s">
        <v>98</v>
      </c>
      <c r="B41" s="77"/>
      <c r="C41" s="78"/>
      <c r="D41" s="79">
        <v>7.98</v>
      </c>
      <c r="E41" s="79"/>
    </row>
    <row r="42" spans="1:5" x14ac:dyDescent="0.3">
      <c r="A42" s="81" t="s">
        <v>99</v>
      </c>
      <c r="B42" s="77"/>
      <c r="C42" s="78"/>
      <c r="D42" s="79">
        <v>926.19200000000001</v>
      </c>
      <c r="E42" s="79"/>
    </row>
    <row r="43" spans="1:5" x14ac:dyDescent="0.3">
      <c r="A43" s="81" t="s">
        <v>100</v>
      </c>
      <c r="B43" s="77"/>
      <c r="C43" s="78"/>
      <c r="D43" s="79">
        <v>61.558000000000007</v>
      </c>
      <c r="E43" s="79"/>
    </row>
    <row r="44" spans="1:5" x14ac:dyDescent="0.3">
      <c r="A44" s="81" t="s">
        <v>101</v>
      </c>
      <c r="B44" s="77"/>
      <c r="C44" s="78"/>
      <c r="D44" s="79">
        <v>1710.5419999999999</v>
      </c>
      <c r="E44" s="79"/>
    </row>
    <row r="45" spans="1:5" x14ac:dyDescent="0.3">
      <c r="A45" s="81" t="s">
        <v>102</v>
      </c>
      <c r="B45" s="77"/>
      <c r="C45" s="78"/>
      <c r="D45" s="79">
        <v>1140.1000000000001</v>
      </c>
      <c r="E45" s="79"/>
    </row>
    <row r="46" spans="1:5" x14ac:dyDescent="0.3">
      <c r="A46" s="81" t="s">
        <v>103</v>
      </c>
      <c r="B46" s="77"/>
      <c r="C46" s="78"/>
      <c r="D46" s="79">
        <v>26.604000000000003</v>
      </c>
      <c r="E46" s="79"/>
    </row>
    <row r="47" spans="1:5" x14ac:dyDescent="0.3">
      <c r="A47" s="81" t="s">
        <v>104</v>
      </c>
      <c r="B47" s="77"/>
      <c r="C47" s="78"/>
      <c r="D47" s="79">
        <v>437.46799999999996</v>
      </c>
      <c r="E47" s="79"/>
    </row>
    <row r="48" spans="1:5" x14ac:dyDescent="0.3">
      <c r="A48" s="81" t="s">
        <v>105</v>
      </c>
      <c r="B48" s="77"/>
      <c r="C48" s="78"/>
      <c r="D48" s="79">
        <v>19.954000000000001</v>
      </c>
      <c r="E48" s="79"/>
    </row>
    <row r="49" spans="1:5" x14ac:dyDescent="0.3">
      <c r="A49" s="81" t="s">
        <v>106</v>
      </c>
      <c r="B49" s="77"/>
      <c r="C49" s="78"/>
      <c r="D49" s="79">
        <v>74.912000000000006</v>
      </c>
      <c r="E49" s="79"/>
    </row>
    <row r="50" spans="1:5" x14ac:dyDescent="0.3">
      <c r="A50" s="81" t="s">
        <v>107</v>
      </c>
      <c r="B50" s="77"/>
      <c r="C50" s="78"/>
      <c r="D50" s="79">
        <v>120.98400000000002</v>
      </c>
      <c r="E50" s="79"/>
    </row>
    <row r="51" spans="1:5" x14ac:dyDescent="0.3">
      <c r="A51" s="94" t="s">
        <v>108</v>
      </c>
      <c r="B51" s="77"/>
      <c r="C51" s="78"/>
      <c r="D51" s="79">
        <v>26.218000000000004</v>
      </c>
      <c r="E51" s="79"/>
    </row>
    <row r="52" spans="1:5" x14ac:dyDescent="0.3">
      <c r="A52" s="81" t="s">
        <v>109</v>
      </c>
      <c r="B52" s="77"/>
      <c r="C52" s="78"/>
      <c r="D52" s="79">
        <v>264.488</v>
      </c>
      <c r="E52" s="79"/>
    </row>
    <row r="53" spans="1:5" x14ac:dyDescent="0.3">
      <c r="A53" s="94" t="s">
        <v>110</v>
      </c>
      <c r="B53" s="77"/>
      <c r="C53" s="78"/>
      <c r="D53" s="79">
        <v>237.88800000000003</v>
      </c>
      <c r="E53" s="79"/>
    </row>
    <row r="54" spans="1:5" x14ac:dyDescent="0.3">
      <c r="A54" s="81" t="s">
        <v>95</v>
      </c>
      <c r="B54" s="77">
        <v>285.2</v>
      </c>
      <c r="C54" s="78"/>
      <c r="D54" s="79"/>
      <c r="E54" s="79"/>
    </row>
    <row r="55" spans="1:5" x14ac:dyDescent="0.3">
      <c r="A55" s="81" t="s">
        <v>111</v>
      </c>
      <c r="B55" s="77">
        <v>69.98</v>
      </c>
      <c r="C55" s="78"/>
      <c r="D55" s="79"/>
      <c r="E55" s="79"/>
    </row>
    <row r="56" spans="1:5" x14ac:dyDescent="0.3">
      <c r="A56" s="81" t="s">
        <v>112</v>
      </c>
      <c r="B56" s="77">
        <v>409.09</v>
      </c>
      <c r="C56" s="78"/>
      <c r="D56" s="79"/>
      <c r="E56" s="79"/>
    </row>
    <row r="57" spans="1:5" x14ac:dyDescent="0.3">
      <c r="A57" s="81" t="s">
        <v>113</v>
      </c>
      <c r="B57" s="77">
        <v>2896</v>
      </c>
      <c r="C57" s="78"/>
      <c r="D57" s="79"/>
      <c r="E57" s="79"/>
    </row>
    <row r="58" spans="1:5" x14ac:dyDescent="0.3">
      <c r="A58" s="81" t="s">
        <v>114</v>
      </c>
      <c r="B58" s="77"/>
      <c r="C58" s="78"/>
      <c r="D58" s="79">
        <v>7856.9126999999999</v>
      </c>
      <c r="E58" s="79"/>
    </row>
    <row r="59" spans="1:5" x14ac:dyDescent="0.3">
      <c r="A59" s="81" t="s">
        <v>115</v>
      </c>
      <c r="B59" s="77"/>
      <c r="C59" s="78"/>
      <c r="D59" s="79">
        <v>264.13</v>
      </c>
      <c r="E59" s="79"/>
    </row>
    <row r="60" spans="1:5" x14ac:dyDescent="0.3">
      <c r="A60" s="81" t="s">
        <v>116</v>
      </c>
      <c r="B60" s="77"/>
      <c r="C60" s="78"/>
      <c r="D60" s="79">
        <v>10000</v>
      </c>
      <c r="E60" s="95"/>
    </row>
    <row r="61" spans="1:5" x14ac:dyDescent="0.3">
      <c r="A61" s="81" t="s">
        <v>117</v>
      </c>
      <c r="B61" s="77"/>
      <c r="C61" s="78"/>
      <c r="D61" s="79">
        <v>1305</v>
      </c>
      <c r="E61" s="79"/>
    </row>
    <row r="62" spans="1:5" x14ac:dyDescent="0.3">
      <c r="A62" s="81" t="s">
        <v>118</v>
      </c>
      <c r="B62" s="77">
        <f>5306.03*20</f>
        <v>106120.59999999999</v>
      </c>
      <c r="C62" s="78"/>
      <c r="D62" s="96">
        <v>7641</v>
      </c>
      <c r="E62" s="79"/>
    </row>
    <row r="63" spans="1:5" x14ac:dyDescent="0.3">
      <c r="A63" s="81" t="s">
        <v>120</v>
      </c>
      <c r="B63" s="77"/>
      <c r="C63" s="97"/>
      <c r="D63" s="79">
        <v>1785</v>
      </c>
      <c r="E63" s="79"/>
    </row>
    <row r="64" spans="1:5" x14ac:dyDescent="0.3">
      <c r="A64" s="81" t="s">
        <v>151</v>
      </c>
      <c r="B64" s="77"/>
      <c r="C64" s="97"/>
      <c r="D64" s="98"/>
      <c r="E64" s="79">
        <v>20000</v>
      </c>
    </row>
    <row r="65" spans="1:5" x14ac:dyDescent="0.3">
      <c r="A65" s="81"/>
      <c r="B65" s="77"/>
      <c r="C65" s="97"/>
      <c r="D65" s="79"/>
      <c r="E65" s="79"/>
    </row>
    <row r="66" spans="1:5" x14ac:dyDescent="0.3">
      <c r="A66" s="80" t="s">
        <v>121</v>
      </c>
      <c r="B66" s="77"/>
      <c r="C66" s="78"/>
      <c r="D66" s="79"/>
      <c r="E66" s="79"/>
    </row>
    <row r="67" spans="1:5" x14ac:dyDescent="0.3">
      <c r="A67" s="81" t="s">
        <v>122</v>
      </c>
      <c r="B67" s="77">
        <v>3220</v>
      </c>
      <c r="C67" s="78"/>
      <c r="D67" s="79"/>
      <c r="E67" s="79"/>
    </row>
    <row r="68" spans="1:5" x14ac:dyDescent="0.3">
      <c r="A68" s="81" t="s">
        <v>123</v>
      </c>
      <c r="B68" s="77"/>
      <c r="C68" s="78"/>
      <c r="D68" s="79">
        <v>2400</v>
      </c>
      <c r="E68" s="79"/>
    </row>
    <row r="69" spans="1:5" x14ac:dyDescent="0.3">
      <c r="A69" s="81" t="s">
        <v>124</v>
      </c>
      <c r="B69" s="77"/>
      <c r="C69" s="78"/>
      <c r="D69" s="79">
        <v>2122.58</v>
      </c>
      <c r="E69" s="79"/>
    </row>
    <row r="70" spans="1:5" x14ac:dyDescent="0.3">
      <c r="A70" s="81"/>
      <c r="B70" s="77"/>
      <c r="C70" s="78"/>
      <c r="D70" s="79"/>
      <c r="E70" s="79"/>
    </row>
    <row r="71" spans="1:5" x14ac:dyDescent="0.3">
      <c r="A71" s="99" t="s">
        <v>125</v>
      </c>
      <c r="B71" s="77"/>
      <c r="C71" s="78"/>
      <c r="D71" s="79"/>
      <c r="E71" s="79"/>
    </row>
    <row r="72" spans="1:5" x14ac:dyDescent="0.3">
      <c r="A72" s="81" t="s">
        <v>152</v>
      </c>
      <c r="B72" s="77"/>
      <c r="C72" s="78"/>
      <c r="D72" s="79">
        <v>4802.3999999999996</v>
      </c>
      <c r="E72" s="79"/>
    </row>
    <row r="73" spans="1:5" x14ac:dyDescent="0.3">
      <c r="A73" s="81" t="s">
        <v>126</v>
      </c>
      <c r="B73" s="77">
        <f>1000*22.6</f>
        <v>22600</v>
      </c>
      <c r="C73" s="78"/>
      <c r="D73" s="79">
        <v>3000</v>
      </c>
      <c r="E73" s="79"/>
    </row>
    <row r="74" spans="1:5" x14ac:dyDescent="0.3">
      <c r="A74" s="81" t="s">
        <v>127</v>
      </c>
      <c r="B74" s="77">
        <v>110000</v>
      </c>
      <c r="C74" s="78"/>
      <c r="D74" s="79"/>
      <c r="E74" s="79"/>
    </row>
    <row r="75" spans="1:5" x14ac:dyDescent="0.3">
      <c r="A75" s="81" t="s">
        <v>128</v>
      </c>
      <c r="B75" s="77">
        <v>16101.199999999999</v>
      </c>
      <c r="C75" s="78"/>
      <c r="D75" s="79"/>
      <c r="E75" s="79"/>
    </row>
    <row r="76" spans="1:5" x14ac:dyDescent="0.3">
      <c r="A76" s="81" t="s">
        <v>129</v>
      </c>
      <c r="B76" s="77">
        <v>3082</v>
      </c>
      <c r="C76" s="78"/>
      <c r="D76" s="79"/>
      <c r="E76" s="79"/>
    </row>
    <row r="77" spans="1:5" x14ac:dyDescent="0.3">
      <c r="A77" s="81" t="s">
        <v>130</v>
      </c>
      <c r="B77" s="77">
        <v>5630.4</v>
      </c>
      <c r="C77" s="78"/>
      <c r="D77" s="79"/>
      <c r="E77" s="79"/>
    </row>
    <row r="78" spans="1:5" x14ac:dyDescent="0.3">
      <c r="A78" s="81"/>
      <c r="B78" s="77"/>
      <c r="C78" s="78"/>
      <c r="D78" s="79"/>
      <c r="E78" s="79"/>
    </row>
    <row r="79" spans="1:5" x14ac:dyDescent="0.3">
      <c r="A79" s="80" t="s">
        <v>131</v>
      </c>
      <c r="B79" s="77"/>
      <c r="C79" s="78"/>
      <c r="D79" s="79"/>
      <c r="E79" s="79"/>
    </row>
    <row r="80" spans="1:5" x14ac:dyDescent="0.3">
      <c r="A80" s="81" t="s">
        <v>132</v>
      </c>
      <c r="B80" s="77">
        <v>200</v>
      </c>
      <c r="C80" s="78"/>
      <c r="D80" s="79"/>
      <c r="E80" s="79"/>
    </row>
    <row r="81" spans="1:5" x14ac:dyDescent="0.3">
      <c r="A81" s="81" t="s">
        <v>133</v>
      </c>
      <c r="B81" s="77">
        <v>1164.96</v>
      </c>
      <c r="C81" s="78"/>
      <c r="D81" s="79"/>
      <c r="E81" s="79"/>
    </row>
    <row r="82" spans="1:5" x14ac:dyDescent="0.3">
      <c r="A82" s="81" t="s">
        <v>134</v>
      </c>
      <c r="B82" s="77">
        <v>3450</v>
      </c>
      <c r="C82" s="78"/>
      <c r="D82" s="79"/>
      <c r="E82" s="79"/>
    </row>
    <row r="83" spans="1:5" x14ac:dyDescent="0.3">
      <c r="A83" s="81"/>
      <c r="B83" s="77"/>
      <c r="C83" s="78"/>
      <c r="D83" s="79"/>
      <c r="E83" s="79"/>
    </row>
    <row r="84" spans="1:5" x14ac:dyDescent="0.3">
      <c r="A84" s="99" t="s">
        <v>135</v>
      </c>
      <c r="B84" s="77">
        <v>1896.93</v>
      </c>
      <c r="C84" s="96"/>
      <c r="D84" s="79">
        <v>2000</v>
      </c>
      <c r="E84" s="79"/>
    </row>
    <row r="85" spans="1:5" x14ac:dyDescent="0.3">
      <c r="A85" s="80" t="s">
        <v>136</v>
      </c>
      <c r="B85" s="77">
        <v>2647</v>
      </c>
      <c r="C85" s="96"/>
      <c r="D85" s="79">
        <v>190</v>
      </c>
      <c r="E85" s="79"/>
    </row>
    <row r="86" spans="1:5" x14ac:dyDescent="0.3">
      <c r="A86" s="81"/>
      <c r="B86" s="77"/>
      <c r="C86" s="78"/>
      <c r="D86" s="79"/>
      <c r="E86" s="79"/>
    </row>
    <row r="87" spans="1:5" x14ac:dyDescent="0.3">
      <c r="A87" s="80" t="s">
        <v>137</v>
      </c>
      <c r="B87" s="77">
        <v>14333.189999999999</v>
      </c>
      <c r="C87" s="78"/>
      <c r="D87" s="79">
        <v>18000</v>
      </c>
      <c r="E87" s="79"/>
    </row>
    <row r="88" spans="1:5" x14ac:dyDescent="0.3">
      <c r="A88" s="46" t="s">
        <v>138</v>
      </c>
      <c r="B88" s="77"/>
      <c r="C88" s="78">
        <v>4087.8290000000002</v>
      </c>
      <c r="D88" s="79"/>
      <c r="E88" s="79"/>
    </row>
    <row r="89" spans="1:5" x14ac:dyDescent="0.3">
      <c r="A89" s="46" t="s">
        <v>139</v>
      </c>
      <c r="B89" s="77"/>
      <c r="C89" s="78"/>
      <c r="D89" s="79">
        <v>29488.118700000021</v>
      </c>
      <c r="E89" s="79"/>
    </row>
    <row r="90" spans="1:5" x14ac:dyDescent="0.3">
      <c r="A90" s="46" t="s">
        <v>140</v>
      </c>
      <c r="B90" s="77">
        <v>676.21</v>
      </c>
      <c r="C90" s="78"/>
      <c r="D90" s="79"/>
      <c r="E90" s="79"/>
    </row>
    <row r="91" spans="1:5" x14ac:dyDescent="0.3">
      <c r="A91" s="80"/>
      <c r="B91" s="77"/>
      <c r="C91" s="78"/>
      <c r="D91" s="79"/>
      <c r="E91" s="79"/>
    </row>
    <row r="92" spans="1:5" x14ac:dyDescent="0.3">
      <c r="A92" s="80" t="s">
        <v>141</v>
      </c>
      <c r="B92" s="77"/>
      <c r="C92" s="78"/>
      <c r="D92" s="79"/>
      <c r="E92" s="79"/>
    </row>
    <row r="93" spans="1:5" x14ac:dyDescent="0.3">
      <c r="A93" s="80" t="s">
        <v>142</v>
      </c>
      <c r="B93" s="77">
        <v>5927.75</v>
      </c>
      <c r="C93" s="78"/>
      <c r="D93" s="79"/>
      <c r="E93" s="79"/>
    </row>
    <row r="94" spans="1:5" x14ac:dyDescent="0.3">
      <c r="A94" s="80" t="s">
        <v>143</v>
      </c>
      <c r="B94" s="77"/>
      <c r="C94" s="78"/>
      <c r="D94" s="79"/>
      <c r="E94" s="79"/>
    </row>
    <row r="95" spans="1:5" x14ac:dyDescent="0.3">
      <c r="A95" s="80" t="s">
        <v>144</v>
      </c>
      <c r="B95" s="77"/>
      <c r="C95" s="78"/>
      <c r="D95" s="79">
        <v>1000</v>
      </c>
      <c r="E95" s="79"/>
    </row>
    <row r="96" spans="1:5" ht="15" thickBot="1" x14ac:dyDescent="0.35">
      <c r="A96" s="46"/>
      <c r="B96" s="83"/>
      <c r="C96" s="84"/>
      <c r="D96" s="85"/>
      <c r="E96" s="85"/>
    </row>
    <row r="97" spans="1:5" x14ac:dyDescent="0.3">
      <c r="A97" s="86" t="s">
        <v>145</v>
      </c>
      <c r="B97" s="87">
        <f>SUM(B12:B96)</f>
        <v>341203.07068911515</v>
      </c>
      <c r="C97" s="88">
        <f>SUM(C12:C96)</f>
        <v>4087.8290000000002</v>
      </c>
      <c r="D97" s="89">
        <f>SUM(D12:D95)</f>
        <v>188090.63760000002</v>
      </c>
      <c r="E97" s="89">
        <f t="shared" ref="E97" si="0">SUM(E12:E95)</f>
        <v>27500</v>
      </c>
    </row>
    <row r="99" spans="1:5" x14ac:dyDescent="0.3">
      <c r="A99" s="24" t="s">
        <v>153</v>
      </c>
      <c r="B99" s="87">
        <f>B10-B97</f>
        <v>321022.92931088485</v>
      </c>
      <c r="C99" s="88">
        <f>C97</f>
        <v>4087.8290000000002</v>
      </c>
      <c r="D99" s="89">
        <f>D10-D97</f>
        <v>-51962.66300000003</v>
      </c>
      <c r="E99" s="89">
        <f>E10-E97</f>
        <v>1073.6500000000015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F00-74F3-C947-BB82-A777B4E28F4F}">
  <dimension ref="A2:G19"/>
  <sheetViews>
    <sheetView zoomScaleNormal="100" workbookViewId="0">
      <selection activeCell="B19" sqref="B19"/>
    </sheetView>
  </sheetViews>
  <sheetFormatPr defaultColWidth="11.19921875" defaultRowHeight="15.6" x14ac:dyDescent="0.3"/>
  <cols>
    <col min="1" max="1" width="28.796875" customWidth="1"/>
    <col min="2" max="2" width="10.796875" style="3"/>
    <col min="6" max="6" width="13" style="3" customWidth="1"/>
    <col min="7" max="7" width="10.796875" style="3"/>
  </cols>
  <sheetData>
    <row r="2" spans="1:3" x14ac:dyDescent="0.3">
      <c r="A2" s="1" t="s">
        <v>0</v>
      </c>
    </row>
    <row r="3" spans="1:3" x14ac:dyDescent="0.3">
      <c r="A3" t="s">
        <v>1</v>
      </c>
      <c r="B3" s="3">
        <v>7500</v>
      </c>
      <c r="C3">
        <v>15000</v>
      </c>
    </row>
    <row r="4" spans="1:3" x14ac:dyDescent="0.3">
      <c r="A4" t="s">
        <v>2</v>
      </c>
      <c r="B4" s="3">
        <v>20000</v>
      </c>
      <c r="C4">
        <v>20000</v>
      </c>
    </row>
    <row r="5" spans="1:3" x14ac:dyDescent="0.3">
      <c r="A5" t="s">
        <v>18</v>
      </c>
      <c r="B5" s="3" t="s">
        <v>26</v>
      </c>
    </row>
    <row r="6" spans="1:3" x14ac:dyDescent="0.3">
      <c r="A6" t="s">
        <v>3</v>
      </c>
      <c r="B6" s="3">
        <v>20000</v>
      </c>
      <c r="C6">
        <v>20000</v>
      </c>
    </row>
    <row r="7" spans="1:3" x14ac:dyDescent="0.3">
      <c r="A7" t="s">
        <v>34</v>
      </c>
      <c r="B7" s="3" t="s">
        <v>26</v>
      </c>
    </row>
    <row r="8" spans="1:3" x14ac:dyDescent="0.3">
      <c r="A8" s="1" t="s">
        <v>153</v>
      </c>
      <c r="B8" s="6">
        <f>SUM(B3:B7)</f>
        <v>47500</v>
      </c>
      <c r="C8" s="1">
        <f>C6+C4+C3</f>
        <v>55000</v>
      </c>
    </row>
    <row r="10" spans="1:3" x14ac:dyDescent="0.3">
      <c r="A10" s="1" t="s">
        <v>4</v>
      </c>
    </row>
    <row r="11" spans="1:3" x14ac:dyDescent="0.3">
      <c r="A11" s="2" t="s">
        <v>28</v>
      </c>
      <c r="B11">
        <v>5300</v>
      </c>
    </row>
    <row r="12" spans="1:3" x14ac:dyDescent="0.3">
      <c r="A12" s="2" t="s">
        <v>14</v>
      </c>
      <c r="B12">
        <v>15650</v>
      </c>
    </row>
    <row r="13" spans="1:3" x14ac:dyDescent="0.3">
      <c r="A13" s="2" t="s">
        <v>16</v>
      </c>
      <c r="B13">
        <v>4167</v>
      </c>
    </row>
    <row r="14" spans="1:3" x14ac:dyDescent="0.3">
      <c r="A14" s="2" t="s">
        <v>13</v>
      </c>
      <c r="B14">
        <v>12000</v>
      </c>
    </row>
    <row r="15" spans="1:3" x14ac:dyDescent="0.3">
      <c r="A15" s="2" t="s">
        <v>15</v>
      </c>
      <c r="B15">
        <v>4005</v>
      </c>
    </row>
    <row r="16" spans="1:3" x14ac:dyDescent="0.3">
      <c r="A16" s="2" t="s">
        <v>48</v>
      </c>
      <c r="B16">
        <v>4465</v>
      </c>
    </row>
    <row r="17" spans="1:2" x14ac:dyDescent="0.3">
      <c r="A17" s="2" t="s">
        <v>50</v>
      </c>
      <c r="B17">
        <v>2100</v>
      </c>
    </row>
    <row r="18" spans="1:2" x14ac:dyDescent="0.3">
      <c r="A18" s="2" t="s">
        <v>54</v>
      </c>
      <c r="B18">
        <v>1750</v>
      </c>
    </row>
    <row r="19" spans="1:2" x14ac:dyDescent="0.3">
      <c r="A19" s="1" t="s">
        <v>153</v>
      </c>
      <c r="B19" s="6">
        <f>SUM(B11:B18)</f>
        <v>49437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BD01-AAD8-594F-84CA-B3E3D9B5C062}">
  <dimension ref="A1:C33"/>
  <sheetViews>
    <sheetView zoomScaleNormal="100" workbookViewId="0">
      <selection activeCell="B10" sqref="B10"/>
    </sheetView>
  </sheetViews>
  <sheetFormatPr defaultColWidth="11.19921875" defaultRowHeight="15.6" x14ac:dyDescent="0.3"/>
  <cols>
    <col min="1" max="1" width="15.19921875" customWidth="1"/>
  </cols>
  <sheetData>
    <row r="1" spans="1:3" x14ac:dyDescent="0.3">
      <c r="A1" s="1" t="s">
        <v>0</v>
      </c>
      <c r="B1" s="6" t="s">
        <v>45</v>
      </c>
      <c r="C1" s="6" t="s">
        <v>46</v>
      </c>
    </row>
    <row r="2" spans="1:3" x14ac:dyDescent="0.3">
      <c r="A2" t="s">
        <v>1</v>
      </c>
      <c r="B2" s="3">
        <v>20000</v>
      </c>
      <c r="C2" s="3" t="s">
        <v>47</v>
      </c>
    </row>
    <row r="3" spans="1:3" x14ac:dyDescent="0.3">
      <c r="A3" t="s">
        <v>2</v>
      </c>
      <c r="B3" s="3">
        <v>20000</v>
      </c>
      <c r="C3" s="3" t="s">
        <v>47</v>
      </c>
    </row>
    <row r="4" spans="1:3" x14ac:dyDescent="0.3">
      <c r="A4" t="s">
        <v>18</v>
      </c>
      <c r="B4" s="3">
        <v>20000</v>
      </c>
      <c r="C4" s="3" t="s">
        <v>47</v>
      </c>
    </row>
    <row r="5" spans="1:3" x14ac:dyDescent="0.3">
      <c r="A5" t="s">
        <v>3</v>
      </c>
      <c r="B5" s="4">
        <v>20000</v>
      </c>
      <c r="C5" s="3" t="s">
        <v>47</v>
      </c>
    </row>
    <row r="6" spans="1:3" x14ac:dyDescent="0.3">
      <c r="A6" t="s">
        <v>34</v>
      </c>
      <c r="B6" s="3">
        <v>45000</v>
      </c>
      <c r="C6" s="3" t="s">
        <v>47</v>
      </c>
    </row>
    <row r="7" spans="1:3" x14ac:dyDescent="0.3">
      <c r="A7" s="1"/>
      <c r="B7" s="6">
        <f>SUM(B2:B6)</f>
        <v>125000</v>
      </c>
      <c r="C7" s="6" t="s">
        <v>47</v>
      </c>
    </row>
    <row r="8" spans="1:3" x14ac:dyDescent="0.3">
      <c r="B8" s="3"/>
      <c r="C8" s="3"/>
    </row>
    <row r="9" spans="1:3" x14ac:dyDescent="0.3">
      <c r="A9" s="1" t="s">
        <v>64</v>
      </c>
      <c r="B9" s="3"/>
      <c r="C9" s="3"/>
    </row>
    <row r="10" spans="1:3" x14ac:dyDescent="0.3">
      <c r="A10" t="s">
        <v>63</v>
      </c>
      <c r="B10" s="3">
        <v>50425</v>
      </c>
      <c r="C10" s="3" t="s">
        <v>44</v>
      </c>
    </row>
    <row r="11" spans="1:3" x14ac:dyDescent="0.3">
      <c r="A11" s="2" t="s">
        <v>58</v>
      </c>
      <c r="B11" s="10">
        <v>20000</v>
      </c>
      <c r="C11" s="3" t="s">
        <v>44</v>
      </c>
    </row>
    <row r="12" spans="1:3" x14ac:dyDescent="0.3">
      <c r="A12" t="s">
        <v>59</v>
      </c>
      <c r="B12">
        <v>15000</v>
      </c>
      <c r="C12" s="3" t="s">
        <v>44</v>
      </c>
    </row>
    <row r="13" spans="1:3" x14ac:dyDescent="0.3">
      <c r="A13" t="s">
        <v>60</v>
      </c>
      <c r="B13">
        <f>(120000+168000)/12</f>
        <v>24000</v>
      </c>
      <c r="C13" s="3" t="s">
        <v>44</v>
      </c>
    </row>
    <row r="14" spans="1:3" x14ac:dyDescent="0.3">
      <c r="A14" t="s">
        <v>61</v>
      </c>
      <c r="B14">
        <v>5000</v>
      </c>
      <c r="C14" s="3" t="s">
        <v>44</v>
      </c>
    </row>
    <row r="15" spans="1:3" x14ac:dyDescent="0.3">
      <c r="A15" t="s">
        <v>62</v>
      </c>
      <c r="B15">
        <v>5000</v>
      </c>
      <c r="C15" s="3" t="s">
        <v>44</v>
      </c>
    </row>
    <row r="16" spans="1:3" x14ac:dyDescent="0.3">
      <c r="B16" s="6">
        <f>SUM(B10:B15)</f>
        <v>119425</v>
      </c>
      <c r="C16" s="6" t="s">
        <v>47</v>
      </c>
    </row>
    <row r="17" spans="1:3" x14ac:dyDescent="0.3">
      <c r="B17" s="3"/>
      <c r="C17" s="3"/>
    </row>
    <row r="18" spans="1:3" x14ac:dyDescent="0.3">
      <c r="B18" s="3"/>
      <c r="C18" s="3"/>
    </row>
    <row r="19" spans="1:3" x14ac:dyDescent="0.3">
      <c r="A19" s="7"/>
      <c r="B19" s="8"/>
      <c r="C19" s="8"/>
    </row>
    <row r="20" spans="1:3" x14ac:dyDescent="0.3">
      <c r="B20" s="3"/>
      <c r="C20" s="3"/>
    </row>
    <row r="21" spans="1:3" x14ac:dyDescent="0.3">
      <c r="B21" s="3"/>
      <c r="C21" s="3"/>
    </row>
    <row r="22" spans="1:3" x14ac:dyDescent="0.3">
      <c r="B22" s="3"/>
      <c r="C22" s="3"/>
    </row>
    <row r="23" spans="1:3" x14ac:dyDescent="0.3">
      <c r="B23" s="3"/>
      <c r="C23" s="3"/>
    </row>
    <row r="24" spans="1:3" x14ac:dyDescent="0.3">
      <c r="B24" s="3"/>
      <c r="C24" s="3"/>
    </row>
    <row r="25" spans="1:3" x14ac:dyDescent="0.3">
      <c r="B25" s="3"/>
      <c r="C25" s="3"/>
    </row>
    <row r="26" spans="1:3" x14ac:dyDescent="0.3">
      <c r="B26" s="5"/>
      <c r="C26" s="3"/>
    </row>
    <row r="33" spans="2:2" x14ac:dyDescent="0.3">
      <c r="B33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F899-27DC-4055-9FE2-6F814D25ED5D}">
  <dimension ref="B1:S77"/>
  <sheetViews>
    <sheetView showGridLines="0" topLeftCell="A9" workbookViewId="0">
      <selection activeCell="E18" sqref="E18"/>
    </sheetView>
  </sheetViews>
  <sheetFormatPr defaultRowHeight="15.6" x14ac:dyDescent="0.3"/>
  <cols>
    <col min="1" max="1" width="3.69921875" customWidth="1"/>
    <col min="2" max="2" width="34.59765625" customWidth="1"/>
    <col min="3" max="14" width="12.796875" style="19" customWidth="1"/>
    <col min="15" max="15" width="15.296875" style="19" customWidth="1"/>
    <col min="16" max="16" width="10.296875" style="13" hidden="1" customWidth="1"/>
    <col min="17" max="17" width="0" style="13" hidden="1" customWidth="1"/>
  </cols>
  <sheetData>
    <row r="1" spans="2:19" ht="23.4" x14ac:dyDescent="0.45">
      <c r="B1" s="169" t="s">
        <v>187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2:19" x14ac:dyDescent="0.3">
      <c r="B2" s="14"/>
      <c r="C2" s="15"/>
      <c r="D2" s="15"/>
      <c r="E2" s="15"/>
      <c r="F2" s="15"/>
      <c r="G2" s="167"/>
      <c r="H2" s="167"/>
      <c r="I2" s="167"/>
      <c r="J2" s="15"/>
      <c r="K2" s="15"/>
      <c r="L2" s="15"/>
      <c r="M2" s="15"/>
      <c r="N2" s="15"/>
      <c r="O2" s="12"/>
    </row>
    <row r="3" spans="2:19" s="42" customFormat="1" ht="18" customHeight="1" thickBot="1" x14ac:dyDescent="0.35">
      <c r="B3" s="20" t="s">
        <v>166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 s="41"/>
      <c r="Q3" s="41"/>
    </row>
    <row r="4" spans="2:19" s="24" customFormat="1" ht="23.4" customHeight="1" thickBot="1" x14ac:dyDescent="0.35">
      <c r="B4" s="58"/>
      <c r="C4" s="59" t="s">
        <v>167</v>
      </c>
      <c r="D4" s="49" t="s">
        <v>168</v>
      </c>
      <c r="E4" s="49" t="s">
        <v>169</v>
      </c>
      <c r="F4" s="49" t="s">
        <v>170</v>
      </c>
      <c r="G4" s="49" t="s">
        <v>171</v>
      </c>
      <c r="H4" s="49" t="s">
        <v>172</v>
      </c>
      <c r="I4" s="49" t="s">
        <v>173</v>
      </c>
      <c r="J4" s="49" t="s">
        <v>174</v>
      </c>
      <c r="K4" s="49" t="s">
        <v>175</v>
      </c>
      <c r="L4" s="49" t="s">
        <v>176</v>
      </c>
      <c r="M4" s="49" t="s">
        <v>177</v>
      </c>
      <c r="N4" s="50" t="s">
        <v>178</v>
      </c>
      <c r="O4" s="62" t="s">
        <v>153</v>
      </c>
      <c r="P4" s="168" t="s">
        <v>179</v>
      </c>
      <c r="Q4" s="168"/>
      <c r="R4" s="23"/>
    </row>
    <row r="5" spans="2:19" s="42" customFormat="1" ht="14.4" x14ac:dyDescent="0.3">
      <c r="B5" s="64" t="s">
        <v>188</v>
      </c>
      <c r="C5" s="51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63"/>
      <c r="P5" s="41"/>
      <c r="Q5" s="41"/>
    </row>
    <row r="6" spans="2:19" s="42" customFormat="1" ht="14.4" x14ac:dyDescent="0.3">
      <c r="B6" s="46" t="s">
        <v>1</v>
      </c>
      <c r="C6" s="53">
        <f>35162+20640</f>
        <v>55802</v>
      </c>
      <c r="D6" s="31">
        <f>32116+16497</f>
        <v>48613</v>
      </c>
      <c r="E6" s="31">
        <f>44106.38+20205</f>
        <v>64311.38</v>
      </c>
      <c r="F6" s="31"/>
      <c r="G6" s="31"/>
      <c r="H6" s="31"/>
      <c r="I6" s="31"/>
      <c r="J6" s="31"/>
      <c r="K6" s="31"/>
      <c r="L6" s="31"/>
      <c r="M6" s="31"/>
      <c r="N6" s="31"/>
      <c r="O6" s="153">
        <f>SUM(C6:N6)</f>
        <v>168726.38</v>
      </c>
      <c r="P6" s="27"/>
      <c r="Q6" s="27"/>
      <c r="S6" s="43"/>
    </row>
    <row r="7" spans="2:19" s="42" customFormat="1" ht="14.4" x14ac:dyDescent="0.3">
      <c r="B7" s="46" t="s">
        <v>18</v>
      </c>
      <c r="C7" s="53">
        <f>5000+18161</f>
        <v>23161</v>
      </c>
      <c r="D7" s="31">
        <f>5000+25829</f>
        <v>30829</v>
      </c>
      <c r="E7" s="31">
        <f>5000+25549</f>
        <v>30549</v>
      </c>
      <c r="F7" s="31"/>
      <c r="G7" s="31"/>
      <c r="H7" s="31"/>
      <c r="I7" s="31"/>
      <c r="J7" s="31"/>
      <c r="K7" s="31"/>
      <c r="L7" s="31"/>
      <c r="M7" s="31"/>
      <c r="N7" s="31"/>
      <c r="O7" s="153">
        <f t="shared" ref="O7:O8" si="0">SUM(C7:N7)</f>
        <v>84539</v>
      </c>
      <c r="P7" s="27"/>
      <c r="Q7" s="27"/>
      <c r="S7" s="43"/>
    </row>
    <row r="8" spans="2:19" s="42" customFormat="1" ht="14.4" x14ac:dyDescent="0.3">
      <c r="B8" s="46" t="s">
        <v>189</v>
      </c>
      <c r="C8" s="53">
        <f>5000+37538</f>
        <v>42538</v>
      </c>
      <c r="D8" s="31">
        <f>5000+60352</f>
        <v>65352</v>
      </c>
      <c r="E8" s="31">
        <f>5000+45668</f>
        <v>50668</v>
      </c>
      <c r="F8" s="31"/>
      <c r="G8" s="31"/>
      <c r="H8" s="31"/>
      <c r="I8" s="31"/>
      <c r="J8" s="31"/>
      <c r="K8" s="31"/>
      <c r="L8" s="31"/>
      <c r="M8" s="31"/>
      <c r="N8" s="31"/>
      <c r="O8" s="153">
        <f t="shared" si="0"/>
        <v>158558</v>
      </c>
      <c r="P8" s="27"/>
      <c r="Q8" s="27"/>
      <c r="S8" s="43"/>
    </row>
    <row r="9" spans="2:19" s="42" customFormat="1" ht="14.4" x14ac:dyDescent="0.3">
      <c r="B9" s="46"/>
      <c r="C9" s="54"/>
      <c r="D9" s="45"/>
      <c r="E9" s="45"/>
      <c r="F9" s="45"/>
      <c r="G9" s="45"/>
      <c r="H9" s="45"/>
      <c r="I9" s="45"/>
      <c r="J9" s="45"/>
      <c r="K9" s="45"/>
      <c r="L9" s="45"/>
      <c r="M9" s="45"/>
      <c r="N9" s="55"/>
      <c r="O9" s="36"/>
      <c r="P9" s="27"/>
      <c r="Q9" s="27"/>
      <c r="S9" s="43"/>
    </row>
    <row r="10" spans="2:19" s="42" customFormat="1" ht="14.4" x14ac:dyDescent="0.3">
      <c r="B10" s="25" t="s">
        <v>181</v>
      </c>
      <c r="C10" s="56">
        <f t="shared" ref="C10:O10" si="1">SUM(C6:C9)</f>
        <v>121501</v>
      </c>
      <c r="D10" s="28">
        <f t="shared" si="1"/>
        <v>144794</v>
      </c>
      <c r="E10" s="28">
        <f t="shared" si="1"/>
        <v>145528.38</v>
      </c>
      <c r="F10" s="28">
        <f t="shared" si="1"/>
        <v>0</v>
      </c>
      <c r="G10" s="28">
        <f t="shared" si="1"/>
        <v>0</v>
      </c>
      <c r="H10" s="28">
        <f t="shared" si="1"/>
        <v>0</v>
      </c>
      <c r="I10" s="28">
        <f t="shared" si="1"/>
        <v>0</v>
      </c>
      <c r="J10" s="28">
        <f t="shared" si="1"/>
        <v>0</v>
      </c>
      <c r="K10" s="28">
        <f t="shared" si="1"/>
        <v>0</v>
      </c>
      <c r="L10" s="28">
        <f t="shared" si="1"/>
        <v>0</v>
      </c>
      <c r="M10" s="28">
        <f t="shared" si="1"/>
        <v>0</v>
      </c>
      <c r="N10" s="29">
        <f t="shared" si="1"/>
        <v>0</v>
      </c>
      <c r="O10" s="30">
        <f t="shared" si="1"/>
        <v>411823.38</v>
      </c>
      <c r="P10" s="27"/>
      <c r="Q10" s="27"/>
    </row>
    <row r="11" spans="2:19" s="42" customFormat="1" ht="14.4" x14ac:dyDescent="0.3">
      <c r="B11" s="47"/>
      <c r="C11" s="53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153"/>
      <c r="P11" s="27"/>
      <c r="Q11" s="27"/>
    </row>
    <row r="12" spans="2:19" s="42" customFormat="1" ht="14.4" x14ac:dyDescent="0.3">
      <c r="B12" s="64" t="s">
        <v>182</v>
      </c>
      <c r="C12" s="53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153"/>
      <c r="P12" s="27"/>
      <c r="Q12" s="27"/>
    </row>
    <row r="13" spans="2:19" s="42" customFormat="1" ht="14.4" x14ac:dyDescent="0.3">
      <c r="B13" s="46" t="s">
        <v>190</v>
      </c>
      <c r="C13" s="53">
        <f>'Expense breakdown'!D44</f>
        <v>27264.756666666668</v>
      </c>
      <c r="D13" s="31">
        <f>'Expense breakdown'!E44</f>
        <v>27264.756666666668</v>
      </c>
      <c r="E13" s="31">
        <f>'Expense breakdown'!F44</f>
        <v>27264.756666666668</v>
      </c>
      <c r="F13" s="31"/>
      <c r="G13" s="31"/>
      <c r="H13" s="31"/>
      <c r="I13" s="31"/>
      <c r="J13" s="31"/>
      <c r="K13" s="31"/>
      <c r="L13" s="31"/>
      <c r="M13" s="31"/>
      <c r="N13" s="31"/>
      <c r="O13" s="153">
        <f t="shared" ref="O13:O27" si="2">SUM(C13:N13)</f>
        <v>81794.27</v>
      </c>
      <c r="P13" s="27" t="e">
        <f>#REF!</f>
        <v>#REF!</v>
      </c>
      <c r="Q13" s="27" t="e">
        <f>O13-P13</f>
        <v>#REF!</v>
      </c>
    </row>
    <row r="14" spans="2:19" s="42" customFormat="1" ht="14.4" x14ac:dyDescent="0.3">
      <c r="B14" s="46" t="s">
        <v>58</v>
      </c>
      <c r="C14" s="53">
        <f>'Expense breakdown'!D45</f>
        <v>18269.642857142859</v>
      </c>
      <c r="D14" s="31">
        <f>'Expense breakdown'!E45</f>
        <v>18274.539393939394</v>
      </c>
      <c r="E14" s="31">
        <f>'Expense breakdown'!F45</f>
        <v>15798.480412371136</v>
      </c>
      <c r="F14" s="31"/>
      <c r="G14" s="31"/>
      <c r="H14" s="31"/>
      <c r="I14" s="31"/>
      <c r="J14" s="31"/>
      <c r="K14" s="31"/>
      <c r="L14" s="31"/>
      <c r="M14" s="31"/>
      <c r="N14" s="31"/>
      <c r="O14" s="153">
        <f t="shared" si="2"/>
        <v>52342.66266345339</v>
      </c>
      <c r="P14" s="27" t="e">
        <f>#REF!</f>
        <v>#REF!</v>
      </c>
      <c r="Q14" s="27" t="e">
        <f>O14-P14</f>
        <v>#REF!</v>
      </c>
    </row>
    <row r="15" spans="2:19" s="42" customFormat="1" ht="14.4" x14ac:dyDescent="0.3">
      <c r="B15" s="46" t="s">
        <v>119</v>
      </c>
      <c r="C15" s="53">
        <f>'Expense breakdown'!D46</f>
        <v>13043.478260869566</v>
      </c>
      <c r="D15" s="31">
        <f>'Expense breakdown'!E46</f>
        <v>13146.362839614374</v>
      </c>
      <c r="E15" s="31">
        <f>'Expense breakdown'!F46</f>
        <v>13032.145960034752</v>
      </c>
      <c r="F15" s="31"/>
      <c r="G15" s="31"/>
      <c r="H15" s="31"/>
      <c r="I15" s="31"/>
      <c r="J15" s="31"/>
      <c r="K15" s="31"/>
      <c r="L15" s="31"/>
      <c r="M15" s="31"/>
      <c r="N15" s="31"/>
      <c r="O15" s="153">
        <f t="shared" si="2"/>
        <v>39221.987060518688</v>
      </c>
      <c r="P15" s="27"/>
      <c r="Q15" s="27"/>
    </row>
    <row r="16" spans="2:19" s="42" customFormat="1" ht="14.4" x14ac:dyDescent="0.3">
      <c r="B16" s="46" t="s">
        <v>120</v>
      </c>
      <c r="C16" s="53">
        <f>'Expense breakdown'!D47</f>
        <v>2806.5</v>
      </c>
      <c r="D16" s="31">
        <f>'Expense breakdown'!E47</f>
        <v>2001</v>
      </c>
      <c r="E16" s="31">
        <f>'Expense breakdown'!F47</f>
        <v>2733</v>
      </c>
      <c r="F16" s="31"/>
      <c r="G16" s="31"/>
      <c r="H16" s="31"/>
      <c r="I16" s="31"/>
      <c r="J16" s="31"/>
      <c r="K16" s="31"/>
      <c r="L16" s="31"/>
      <c r="M16" s="31"/>
      <c r="N16" s="31"/>
      <c r="O16" s="153">
        <f t="shared" si="2"/>
        <v>7540.5</v>
      </c>
      <c r="P16" s="27"/>
      <c r="Q16" s="27"/>
    </row>
    <row r="17" spans="2:17" s="42" customFormat="1" ht="14.4" x14ac:dyDescent="0.3">
      <c r="B17" s="46" t="s">
        <v>161</v>
      </c>
      <c r="C17" s="53">
        <f>SUM('Expense breakdown'!D292:D293)/1.15</f>
        <v>4727.217391304348</v>
      </c>
      <c r="D17" s="31">
        <f>SUM('Expense breakdown'!E292:E293)/1.141</f>
        <v>3702.8834355828217</v>
      </c>
      <c r="E17" s="31">
        <f>SUM('Expense breakdown'!F292:F293)/1.141</f>
        <v>4665.8106923751102</v>
      </c>
      <c r="F17" s="31"/>
      <c r="G17" s="31"/>
      <c r="H17" s="31"/>
      <c r="I17" s="31"/>
      <c r="J17" s="31"/>
      <c r="K17" s="31"/>
      <c r="L17" s="31"/>
      <c r="M17" s="31"/>
      <c r="N17" s="31"/>
      <c r="O17" s="153">
        <f>SUM(C17:N17)</f>
        <v>13095.911519262281</v>
      </c>
      <c r="P17" s="27"/>
      <c r="Q17" s="27"/>
    </row>
    <row r="18" spans="2:17" s="42" customFormat="1" ht="14.4" x14ac:dyDescent="0.3">
      <c r="B18" s="46" t="s">
        <v>191</v>
      </c>
      <c r="C18" s="53">
        <f>SUM('Expense breakdown'!D303:D305)/1.15</f>
        <v>17102.408695652175</v>
      </c>
      <c r="D18" s="31">
        <f>SUM('Expense breakdown'!E303:E305)/1.141</f>
        <v>13928.106923751095</v>
      </c>
      <c r="E18" s="158">
        <f>SUM('Expense breakdown'!F303:F305)/1.151</f>
        <v>16676.5</v>
      </c>
      <c r="F18" s="31"/>
      <c r="G18" s="31"/>
      <c r="H18" s="31"/>
      <c r="I18" s="31"/>
      <c r="J18" s="31"/>
      <c r="K18" s="31"/>
      <c r="L18" s="31"/>
      <c r="M18" s="31"/>
      <c r="N18" s="31"/>
      <c r="O18" s="153">
        <f t="shared" ref="O18:O26" si="3">SUM(C18:N18)</f>
        <v>47707.015619403268</v>
      </c>
      <c r="P18" s="27"/>
      <c r="Q18" s="27"/>
    </row>
    <row r="19" spans="2:17" s="42" customFormat="1" ht="14.4" x14ac:dyDescent="0.3">
      <c r="B19" s="46" t="s">
        <v>276</v>
      </c>
      <c r="C19" s="53">
        <f>'Expense breakdown'!D326/1.15</f>
        <v>3968.6956521739135</v>
      </c>
      <c r="D19" s="31">
        <f>'Expense breakdown'!E326/1.141</f>
        <v>10749.395267309377</v>
      </c>
      <c r="E19" s="158">
        <f>'Expense breakdown'!F326/1.151</f>
        <v>11902.7</v>
      </c>
      <c r="F19" s="31"/>
      <c r="G19" s="31"/>
      <c r="H19" s="31"/>
      <c r="I19" s="31"/>
      <c r="J19" s="31"/>
      <c r="K19" s="31"/>
      <c r="L19" s="31"/>
      <c r="M19" s="31"/>
      <c r="N19" s="31"/>
      <c r="O19" s="153"/>
      <c r="P19" s="27"/>
      <c r="Q19" s="27"/>
    </row>
    <row r="20" spans="2:17" s="42" customFormat="1" ht="14.4" x14ac:dyDescent="0.3">
      <c r="B20" s="46" t="s">
        <v>211</v>
      </c>
      <c r="C20" s="53">
        <f>SUM('Expense breakdown'!D315:D317)/1.15</f>
        <v>3913.04347826087</v>
      </c>
      <c r="D20" s="31">
        <f>SUM('Expense breakdown'!E315:E317)/1.141</f>
        <v>6157.26</v>
      </c>
      <c r="E20" s="31">
        <f>SUM('Expense breakdown'!F315:F317)/1.151</f>
        <v>7332.6599999999989</v>
      </c>
      <c r="F20" s="31"/>
      <c r="G20" s="31"/>
      <c r="H20" s="31"/>
      <c r="I20" s="31"/>
      <c r="J20" s="31"/>
      <c r="K20" s="31"/>
      <c r="L20" s="31"/>
      <c r="M20" s="31"/>
      <c r="N20" s="31"/>
      <c r="O20" s="153">
        <f t="shared" si="3"/>
        <v>17402.96347826087</v>
      </c>
      <c r="P20" s="27"/>
      <c r="Q20" s="27"/>
    </row>
    <row r="21" spans="2:17" s="42" customFormat="1" ht="14.4" x14ac:dyDescent="0.3">
      <c r="B21" s="46" t="s">
        <v>192</v>
      </c>
      <c r="C21" s="53">
        <f>'Expense breakdown'!D48</f>
        <v>24362.608695652176</v>
      </c>
      <c r="D21" s="31">
        <f>'Expense breakdown'!E48</f>
        <v>27017.528483786151</v>
      </c>
      <c r="E21" s="31">
        <f>'Expense breakdown'!F48</f>
        <v>33020.851433536052</v>
      </c>
      <c r="F21" s="31"/>
      <c r="G21" s="31"/>
      <c r="H21" s="31"/>
      <c r="I21" s="31"/>
      <c r="J21" s="31"/>
      <c r="K21" s="31"/>
      <c r="L21" s="31"/>
      <c r="M21" s="31"/>
      <c r="N21" s="31"/>
      <c r="O21" s="153">
        <f t="shared" si="3"/>
        <v>84400.988612974383</v>
      </c>
      <c r="P21" s="27"/>
      <c r="Q21" s="27"/>
    </row>
    <row r="22" spans="2:17" s="42" customFormat="1" ht="14.4" x14ac:dyDescent="0.3">
      <c r="B22" s="46" t="s">
        <v>21</v>
      </c>
      <c r="C22" s="53">
        <f>'Expense breakdown'!D49</f>
        <v>4782.608695652174</v>
      </c>
      <c r="D22" s="31">
        <f>'Expense breakdown'!E49</f>
        <v>4820.3330411919369</v>
      </c>
      <c r="E22" s="31">
        <f>'Expense breakdown'!F49</f>
        <v>4778.4535186794092</v>
      </c>
      <c r="F22" s="31"/>
      <c r="G22" s="31"/>
      <c r="H22" s="31"/>
      <c r="I22" s="31"/>
      <c r="J22" s="31"/>
      <c r="K22" s="31"/>
      <c r="L22" s="31"/>
      <c r="M22" s="31"/>
      <c r="N22" s="31"/>
      <c r="O22" s="153">
        <f t="shared" si="3"/>
        <v>14381.395255523519</v>
      </c>
      <c r="P22" s="27"/>
      <c r="Q22" s="27"/>
    </row>
    <row r="23" spans="2:17" s="42" customFormat="1" ht="14.4" x14ac:dyDescent="0.3">
      <c r="B23" s="46" t="s">
        <v>193</v>
      </c>
      <c r="C23" s="53">
        <f>'Expense breakdown'!D50</f>
        <v>4173.913043478261</v>
      </c>
      <c r="D23" s="31">
        <f>'Expense breakdown'!E50</f>
        <v>4206.836108676599</v>
      </c>
      <c r="E23" s="31">
        <f>'Expense breakdown'!F50</f>
        <v>4170.2867072111203</v>
      </c>
      <c r="F23" s="31"/>
      <c r="G23" s="31"/>
      <c r="H23" s="31"/>
      <c r="I23" s="31"/>
      <c r="J23" s="31"/>
      <c r="K23" s="31"/>
      <c r="L23" s="31"/>
      <c r="M23" s="31"/>
      <c r="N23" s="31"/>
      <c r="O23" s="153">
        <f t="shared" si="3"/>
        <v>12551.03585936598</v>
      </c>
      <c r="P23" s="27"/>
      <c r="Q23" s="27"/>
    </row>
    <row r="24" spans="2:17" s="42" customFormat="1" ht="14.4" x14ac:dyDescent="0.3">
      <c r="B24" s="46" t="s">
        <v>194</v>
      </c>
      <c r="C24" s="53">
        <f>'Expense breakdown'!D51</f>
        <v>7585.1478260869571</v>
      </c>
      <c r="D24" s="31">
        <f>'Expense breakdown'!E51</f>
        <v>8107.5723049956177</v>
      </c>
      <c r="E24" s="31">
        <f>'Expense breakdown'!F51</f>
        <v>8568.1146828844485</v>
      </c>
      <c r="F24" s="31"/>
      <c r="G24" s="31"/>
      <c r="H24" s="31"/>
      <c r="I24" s="31"/>
      <c r="J24" s="31"/>
      <c r="K24" s="31"/>
      <c r="L24" s="31"/>
      <c r="M24" s="31"/>
      <c r="N24" s="31"/>
      <c r="O24" s="153">
        <f t="shared" si="3"/>
        <v>24260.834813967023</v>
      </c>
      <c r="P24" s="27"/>
      <c r="Q24" s="27"/>
    </row>
    <row r="25" spans="2:17" s="42" customFormat="1" ht="14.4" x14ac:dyDescent="0.3">
      <c r="B25" s="46" t="s">
        <v>195</v>
      </c>
      <c r="C25" s="53">
        <f>'Expense breakdown'!D52</f>
        <v>4347.826086956522</v>
      </c>
      <c r="D25" s="31">
        <f>'Expense breakdown'!E52</f>
        <v>4382.1209465381244</v>
      </c>
      <c r="E25" s="31">
        <f>'Expense breakdown'!F52</f>
        <v>4344.0486533449175</v>
      </c>
      <c r="F25" s="31"/>
      <c r="G25" s="31"/>
      <c r="H25" s="31"/>
      <c r="I25" s="31"/>
      <c r="J25" s="31"/>
      <c r="K25" s="31"/>
      <c r="L25" s="31"/>
      <c r="M25" s="31"/>
      <c r="N25" s="31"/>
      <c r="O25" s="153">
        <f t="shared" si="3"/>
        <v>13073.995686839564</v>
      </c>
      <c r="P25" s="27"/>
      <c r="Q25" s="27"/>
    </row>
    <row r="26" spans="2:17" s="42" customFormat="1" ht="14.4" x14ac:dyDescent="0.3">
      <c r="B26" s="46" t="s">
        <v>272</v>
      </c>
      <c r="C26" s="53">
        <f>'Expense breakdown'!D39</f>
        <v>8718.5833333333303</v>
      </c>
      <c r="D26" s="31">
        <f>'Expense breakdown'!E39</f>
        <v>8405.640404040405</v>
      </c>
      <c r="E26" s="31">
        <f>'Expense breakdown'!F39</f>
        <v>11022.468041237114</v>
      </c>
      <c r="F26" s="31"/>
      <c r="G26" s="31"/>
      <c r="H26" s="31"/>
      <c r="I26" s="31"/>
      <c r="J26" s="31"/>
      <c r="K26" s="31"/>
      <c r="L26" s="31"/>
      <c r="M26" s="31"/>
      <c r="N26" s="31"/>
      <c r="O26" s="153">
        <f t="shared" si="3"/>
        <v>28146.691778610853</v>
      </c>
      <c r="P26" s="27"/>
      <c r="Q26" s="27"/>
    </row>
    <row r="27" spans="2:17" s="42" customFormat="1" ht="14.4" x14ac:dyDescent="0.3">
      <c r="B27" s="46"/>
      <c r="C27" s="53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2"/>
      <c r="O27" s="26">
        <f t="shared" si="2"/>
        <v>0</v>
      </c>
      <c r="P27" s="27" t="e">
        <f>#REF!</f>
        <v>#REF!</v>
      </c>
      <c r="Q27" s="27" t="e">
        <f>O27-P27</f>
        <v>#REF!</v>
      </c>
    </row>
    <row r="28" spans="2:17" s="42" customFormat="1" ht="20.399999999999999" customHeight="1" x14ac:dyDescent="0.3">
      <c r="B28" s="25" t="s">
        <v>186</v>
      </c>
      <c r="C28" s="136">
        <f t="shared" ref="C28:O28" si="4">SUM(C13:C27)</f>
        <v>145066.43068322982</v>
      </c>
      <c r="D28" s="33">
        <f t="shared" si="4"/>
        <v>152164.33581609253</v>
      </c>
      <c r="E28" s="33">
        <f t="shared" si="4"/>
        <v>165310.27676834073</v>
      </c>
      <c r="F28" s="33">
        <f t="shared" si="4"/>
        <v>0</v>
      </c>
      <c r="G28" s="33">
        <f t="shared" si="4"/>
        <v>0</v>
      </c>
      <c r="H28" s="33">
        <f t="shared" si="4"/>
        <v>0</v>
      </c>
      <c r="I28" s="33">
        <f t="shared" si="4"/>
        <v>0</v>
      </c>
      <c r="J28" s="33">
        <f t="shared" si="4"/>
        <v>0</v>
      </c>
      <c r="K28" s="33">
        <f t="shared" si="4"/>
        <v>0</v>
      </c>
      <c r="L28" s="33">
        <f t="shared" si="4"/>
        <v>0</v>
      </c>
      <c r="M28" s="33">
        <f t="shared" si="4"/>
        <v>0</v>
      </c>
      <c r="N28" s="57">
        <f t="shared" si="4"/>
        <v>0</v>
      </c>
      <c r="O28" s="48">
        <f t="shared" si="4"/>
        <v>435920.25234817981</v>
      </c>
      <c r="P28" s="27"/>
      <c r="Q28" s="27"/>
    </row>
    <row r="29" spans="2:17" s="42" customFormat="1" ht="14.4" x14ac:dyDescent="0.3">
      <c r="B29" s="47"/>
      <c r="C29" s="5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5"/>
      <c r="O29" s="36"/>
      <c r="P29" s="27"/>
      <c r="Q29" s="27"/>
    </row>
    <row r="30" spans="2:17" s="24" customFormat="1" ht="26.1" customHeight="1" thickBot="1" x14ac:dyDescent="0.35">
      <c r="B30" s="60"/>
      <c r="C30" s="61">
        <f t="shared" ref="C30:O30" si="5">C10-C28</f>
        <v>-23565.430683229817</v>
      </c>
      <c r="D30" s="37">
        <f t="shared" si="5"/>
        <v>-7370.3358160925272</v>
      </c>
      <c r="E30" s="37">
        <f t="shared" si="5"/>
        <v>-19781.896768340725</v>
      </c>
      <c r="F30" s="37">
        <f t="shared" si="5"/>
        <v>0</v>
      </c>
      <c r="G30" s="37">
        <f t="shared" si="5"/>
        <v>0</v>
      </c>
      <c r="H30" s="37">
        <f t="shared" si="5"/>
        <v>0</v>
      </c>
      <c r="I30" s="37">
        <f t="shared" si="5"/>
        <v>0</v>
      </c>
      <c r="J30" s="37">
        <f t="shared" si="5"/>
        <v>0</v>
      </c>
      <c r="K30" s="37">
        <f t="shared" si="5"/>
        <v>0</v>
      </c>
      <c r="L30" s="37">
        <f t="shared" si="5"/>
        <v>0</v>
      </c>
      <c r="M30" s="37">
        <f t="shared" si="5"/>
        <v>0</v>
      </c>
      <c r="N30" s="38">
        <f t="shared" si="5"/>
        <v>0</v>
      </c>
      <c r="O30" s="39">
        <f t="shared" si="5"/>
        <v>-24096.872348179808</v>
      </c>
      <c r="P30" s="40"/>
      <c r="Q30" s="40"/>
    </row>
    <row r="31" spans="2:17" s="42" customFormat="1" ht="14.4" x14ac:dyDescent="0.3"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1"/>
      <c r="Q31" s="41"/>
    </row>
    <row r="32" spans="2:17" x14ac:dyDescent="0.3"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3:15" x14ac:dyDescent="0.3">
      <c r="C33" s="16"/>
      <c r="D33" s="17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3:15" x14ac:dyDescent="0.3">
      <c r="C34" s="18"/>
      <c r="D34" s="18"/>
      <c r="E34" s="18"/>
      <c r="F34" s="16"/>
      <c r="G34" s="18"/>
      <c r="H34" s="18"/>
      <c r="I34" s="18"/>
      <c r="J34" s="18"/>
      <c r="K34" s="18"/>
      <c r="L34" s="18"/>
      <c r="M34" s="18"/>
      <c r="N34" s="18"/>
      <c r="O34" s="18"/>
    </row>
    <row r="35" spans="3:15" x14ac:dyDescent="0.3"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3:15" x14ac:dyDescent="0.3"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3:15" x14ac:dyDescent="0.3"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3:15" x14ac:dyDescent="0.3"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3:15" x14ac:dyDescent="0.3"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3:15" x14ac:dyDescent="0.3"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3:15" x14ac:dyDescent="0.3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3:15" x14ac:dyDescent="0.3"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3:15" x14ac:dyDescent="0.3"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3:15" x14ac:dyDescent="0.3"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3:15" x14ac:dyDescent="0.3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3:15" x14ac:dyDescent="0.3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3:15" x14ac:dyDescent="0.3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3:15" x14ac:dyDescent="0.3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3:15" x14ac:dyDescent="0.3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3:15" x14ac:dyDescent="0.3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3:15" x14ac:dyDescent="0.3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3:15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3:15" x14ac:dyDescent="0.3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3:15" x14ac:dyDescent="0.3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3:15" x14ac:dyDescent="0.3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3:15" x14ac:dyDescent="0.3"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3:15" x14ac:dyDescent="0.3"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3:15" x14ac:dyDescent="0.3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3:15" x14ac:dyDescent="0.3"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3:15" x14ac:dyDescent="0.3"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3:15" x14ac:dyDescent="0.3"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3:15" x14ac:dyDescent="0.3"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3:15" x14ac:dyDescent="0.3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3:15" x14ac:dyDescent="0.3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3:15" x14ac:dyDescent="0.3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3:15" x14ac:dyDescent="0.3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3:15" x14ac:dyDescent="0.3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3:15" x14ac:dyDescent="0.3"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3:15" x14ac:dyDescent="0.3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3:15" x14ac:dyDescent="0.3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3:15" x14ac:dyDescent="0.3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3:15" x14ac:dyDescent="0.3"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spans="3:15" x14ac:dyDescent="0.3"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3:15" x14ac:dyDescent="0.3"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spans="3:15" x14ac:dyDescent="0.3"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3:15" x14ac:dyDescent="0.3"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pans="3:15" x14ac:dyDescent="0.3"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</sheetData>
  <mergeCells count="3">
    <mergeCell ref="G2:I2"/>
    <mergeCell ref="P4:Q4"/>
    <mergeCell ref="B1:O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338C-EB94-43BB-83C4-3A784100E8AC}">
  <dimension ref="B3:P328"/>
  <sheetViews>
    <sheetView showGridLines="0" tabSelected="1" zoomScaleNormal="100" workbookViewId="0"/>
  </sheetViews>
  <sheetFormatPr defaultRowHeight="14.4" x14ac:dyDescent="0.3"/>
  <cols>
    <col min="1" max="1" width="3.69921875" style="42" customWidth="1"/>
    <col min="2" max="2" width="4.296875" style="42" customWidth="1"/>
    <col min="3" max="3" width="23.3984375" style="42" customWidth="1"/>
    <col min="4" max="16" width="12.8984375" style="42" customWidth="1"/>
    <col min="17" max="16384" width="8.796875" style="42"/>
  </cols>
  <sheetData>
    <row r="3" spans="2:16" ht="15" thickBot="1" x14ac:dyDescent="0.35">
      <c r="B3" s="24" t="s">
        <v>275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</row>
    <row r="4" spans="2:16" ht="19.2" customHeight="1" x14ac:dyDescent="0.3">
      <c r="B4" s="113"/>
      <c r="C4" s="69"/>
      <c r="D4" s="70" t="s">
        <v>167</v>
      </c>
      <c r="E4" s="70" t="s">
        <v>168</v>
      </c>
      <c r="F4" s="70" t="s">
        <v>169</v>
      </c>
      <c r="G4" s="70" t="s">
        <v>170</v>
      </c>
      <c r="H4" s="70" t="s">
        <v>171</v>
      </c>
      <c r="I4" s="70" t="s">
        <v>172</v>
      </c>
      <c r="J4" s="70" t="s">
        <v>173</v>
      </c>
      <c r="K4" s="70" t="s">
        <v>174</v>
      </c>
      <c r="L4" s="70" t="s">
        <v>175</v>
      </c>
      <c r="M4" s="70" t="s">
        <v>176</v>
      </c>
      <c r="N4" s="70" t="s">
        <v>177</v>
      </c>
      <c r="O4" s="70" t="s">
        <v>178</v>
      </c>
      <c r="P4" s="71" t="s">
        <v>153</v>
      </c>
    </row>
    <row r="5" spans="2:16" x14ac:dyDescent="0.3">
      <c r="B5" s="65">
        <v>1</v>
      </c>
      <c r="C5" s="42" t="s">
        <v>197</v>
      </c>
      <c r="D5" s="121">
        <v>8.14</v>
      </c>
      <c r="E5" s="121">
        <v>8.14</v>
      </c>
      <c r="F5" s="121">
        <v>8.14</v>
      </c>
      <c r="G5" s="121"/>
      <c r="H5" s="121"/>
      <c r="I5" s="121"/>
      <c r="J5" s="121"/>
      <c r="K5" s="121"/>
      <c r="L5" s="121"/>
      <c r="M5" s="121"/>
      <c r="N5" s="121"/>
      <c r="O5" s="121"/>
      <c r="P5" s="122">
        <f t="shared" ref="P5:P37" si="0">SUM(D5:O5)</f>
        <v>24.42</v>
      </c>
    </row>
    <row r="6" spans="2:16" x14ac:dyDescent="0.3">
      <c r="B6" s="65">
        <v>2</v>
      </c>
      <c r="C6" s="42" t="s">
        <v>92</v>
      </c>
      <c r="D6" s="121">
        <v>187.36</v>
      </c>
      <c r="E6" s="121">
        <v>187.36</v>
      </c>
      <c r="F6" s="121">
        <v>198.39</v>
      </c>
      <c r="G6" s="121"/>
      <c r="H6" s="121"/>
      <c r="I6" s="121"/>
      <c r="J6" s="121"/>
      <c r="K6" s="121"/>
      <c r="L6" s="121"/>
      <c r="M6" s="121"/>
      <c r="N6" s="121"/>
      <c r="O6" s="121"/>
      <c r="P6" s="122">
        <f t="shared" si="0"/>
        <v>573.11</v>
      </c>
    </row>
    <row r="7" spans="2:16" x14ac:dyDescent="0.3">
      <c r="B7" s="65">
        <v>3</v>
      </c>
      <c r="C7" s="42" t="s">
        <v>93</v>
      </c>
      <c r="D7" s="121">
        <v>847.66</v>
      </c>
      <c r="E7" s="121">
        <v>801.41</v>
      </c>
      <c r="F7" s="121">
        <v>628.58000000000004</v>
      </c>
      <c r="G7" s="121"/>
      <c r="H7" s="121"/>
      <c r="I7" s="121"/>
      <c r="J7" s="121"/>
      <c r="K7" s="121"/>
      <c r="L7" s="121"/>
      <c r="M7" s="121"/>
      <c r="N7" s="121"/>
      <c r="O7" s="121"/>
      <c r="P7" s="122">
        <f t="shared" si="0"/>
        <v>2277.65</v>
      </c>
    </row>
    <row r="8" spans="2:16" x14ac:dyDescent="0.3">
      <c r="B8" s="65">
        <v>4</v>
      </c>
      <c r="C8" s="42" t="s">
        <v>94</v>
      </c>
      <c r="D8" s="121">
        <v>3371.04</v>
      </c>
      <c r="E8" s="121">
        <v>3507.61</v>
      </c>
      <c r="F8" s="121">
        <v>3410.92</v>
      </c>
      <c r="G8" s="121"/>
      <c r="H8" s="121"/>
      <c r="I8" s="121"/>
      <c r="J8" s="121"/>
      <c r="K8" s="121"/>
      <c r="L8" s="121"/>
      <c r="M8" s="121"/>
      <c r="N8" s="121"/>
      <c r="O8" s="121"/>
      <c r="P8" s="122">
        <f t="shared" si="0"/>
        <v>10289.57</v>
      </c>
    </row>
    <row r="9" spans="2:16" x14ac:dyDescent="0.3">
      <c r="B9" s="65">
        <v>5</v>
      </c>
      <c r="C9" s="42" t="s">
        <v>95</v>
      </c>
      <c r="D9" s="121">
        <v>366.65</v>
      </c>
      <c r="E9" s="121">
        <v>366.65</v>
      </c>
      <c r="F9" s="121">
        <v>366.65</v>
      </c>
      <c r="G9" s="121"/>
      <c r="H9" s="121"/>
      <c r="I9" s="121"/>
      <c r="J9" s="121"/>
      <c r="K9" s="121"/>
      <c r="L9" s="121"/>
      <c r="M9" s="121"/>
      <c r="N9" s="121"/>
      <c r="O9" s="121"/>
      <c r="P9" s="122">
        <f t="shared" si="0"/>
        <v>1099.9499999999998</v>
      </c>
    </row>
    <row r="10" spans="2:16" x14ac:dyDescent="0.3">
      <c r="B10" s="65">
        <v>6</v>
      </c>
      <c r="C10" s="42" t="s">
        <v>96</v>
      </c>
      <c r="D10" s="121">
        <v>79.44</v>
      </c>
      <c r="E10" s="121">
        <v>77.14</v>
      </c>
      <c r="F10" s="121">
        <v>79.459999999999994</v>
      </c>
      <c r="G10" s="121"/>
      <c r="H10" s="121"/>
      <c r="I10" s="121"/>
      <c r="J10" s="121"/>
      <c r="K10" s="121"/>
      <c r="L10" s="121"/>
      <c r="M10" s="121"/>
      <c r="N10" s="121"/>
      <c r="O10" s="121"/>
      <c r="P10" s="122">
        <f t="shared" si="0"/>
        <v>236.03999999999996</v>
      </c>
    </row>
    <row r="11" spans="2:16" x14ac:dyDescent="0.3">
      <c r="B11" s="65">
        <v>7</v>
      </c>
      <c r="C11" s="42" t="s">
        <v>97</v>
      </c>
      <c r="D11" s="121">
        <v>318.45</v>
      </c>
      <c r="E11" s="121">
        <v>309.90999999999997</v>
      </c>
      <c r="F11" s="121">
        <v>288.5</v>
      </c>
      <c r="G11" s="121"/>
      <c r="H11" s="121"/>
      <c r="I11" s="121"/>
      <c r="J11" s="121"/>
      <c r="K11" s="121"/>
      <c r="L11" s="121"/>
      <c r="M11" s="121"/>
      <c r="N11" s="121"/>
      <c r="O11" s="121"/>
      <c r="P11" s="122">
        <f t="shared" si="0"/>
        <v>916.8599999999999</v>
      </c>
    </row>
    <row r="12" spans="2:16" x14ac:dyDescent="0.3">
      <c r="B12" s="65">
        <v>8</v>
      </c>
      <c r="C12" s="42" t="s">
        <v>98</v>
      </c>
      <c r="D12" s="121">
        <v>39.9</v>
      </c>
      <c r="E12" s="121">
        <v>0</v>
      </c>
      <c r="F12" s="121">
        <v>79.81</v>
      </c>
      <c r="G12" s="121"/>
      <c r="H12" s="121"/>
      <c r="I12" s="121"/>
      <c r="J12" s="121"/>
      <c r="K12" s="121"/>
      <c r="L12" s="121"/>
      <c r="M12" s="121"/>
      <c r="N12" s="121"/>
      <c r="O12" s="121"/>
      <c r="P12" s="122">
        <f t="shared" si="0"/>
        <v>119.71000000000001</v>
      </c>
    </row>
    <row r="13" spans="2:16" x14ac:dyDescent="0.3">
      <c r="B13" s="65">
        <v>9</v>
      </c>
      <c r="C13" s="42" t="s">
        <v>99</v>
      </c>
      <c r="D13" s="121">
        <v>4881.6099999999997</v>
      </c>
      <c r="E13" s="121">
        <v>5217.0499999999993</v>
      </c>
      <c r="F13" s="121">
        <v>5661.65</v>
      </c>
      <c r="G13" s="121"/>
      <c r="H13" s="121"/>
      <c r="I13" s="121"/>
      <c r="J13" s="121"/>
      <c r="K13" s="121"/>
      <c r="L13" s="121"/>
      <c r="M13" s="121"/>
      <c r="N13" s="121"/>
      <c r="O13" s="121"/>
      <c r="P13" s="122">
        <f t="shared" si="0"/>
        <v>15760.31</v>
      </c>
    </row>
    <row r="14" spans="2:16" x14ac:dyDescent="0.3">
      <c r="B14" s="65">
        <v>10</v>
      </c>
      <c r="C14" s="42" t="s">
        <v>100</v>
      </c>
      <c r="D14" s="121">
        <v>394.84</v>
      </c>
      <c r="E14" s="121">
        <v>356.02</v>
      </c>
      <c r="F14" s="121">
        <v>1421.21</v>
      </c>
      <c r="G14" s="121"/>
      <c r="H14" s="121"/>
      <c r="I14" s="121"/>
      <c r="J14" s="121"/>
      <c r="K14" s="121"/>
      <c r="L14" s="121"/>
      <c r="M14" s="121"/>
      <c r="N14" s="121"/>
      <c r="O14" s="121"/>
      <c r="P14" s="122">
        <f t="shared" si="0"/>
        <v>2172.0699999999997</v>
      </c>
    </row>
    <row r="15" spans="2:16" x14ac:dyDescent="0.3">
      <c r="B15" s="65">
        <v>11</v>
      </c>
      <c r="C15" s="42" t="s">
        <v>198</v>
      </c>
      <c r="D15" s="121">
        <v>71.83</v>
      </c>
      <c r="E15" s="121">
        <v>0</v>
      </c>
      <c r="F15" s="121">
        <v>0</v>
      </c>
      <c r="G15" s="121"/>
      <c r="H15" s="121"/>
      <c r="I15" s="121"/>
      <c r="J15" s="121"/>
      <c r="K15" s="121"/>
      <c r="L15" s="121"/>
      <c r="M15" s="121"/>
      <c r="N15" s="121"/>
      <c r="O15" s="121"/>
      <c r="P15" s="122">
        <f t="shared" si="0"/>
        <v>71.83</v>
      </c>
    </row>
    <row r="16" spans="2:16" x14ac:dyDescent="0.3">
      <c r="B16" s="65">
        <v>12</v>
      </c>
      <c r="C16" s="42" t="s">
        <v>199</v>
      </c>
      <c r="D16" s="121">
        <v>892.99</v>
      </c>
      <c r="E16" s="121">
        <v>4397.3</v>
      </c>
      <c r="F16" s="121">
        <v>0</v>
      </c>
      <c r="G16" s="121"/>
      <c r="H16" s="121"/>
      <c r="I16" s="121"/>
      <c r="J16" s="121"/>
      <c r="K16" s="121"/>
      <c r="L16" s="121"/>
      <c r="M16" s="121"/>
      <c r="N16" s="121"/>
      <c r="O16" s="121"/>
      <c r="P16" s="122">
        <f t="shared" si="0"/>
        <v>5290.29</v>
      </c>
    </row>
    <row r="17" spans="2:16" x14ac:dyDescent="0.3">
      <c r="B17" s="65">
        <v>13</v>
      </c>
      <c r="C17" s="42" t="s">
        <v>101</v>
      </c>
      <c r="D17" s="178">
        <v>8763.8700000000008</v>
      </c>
      <c r="E17" s="178">
        <v>17863.330000000002</v>
      </c>
      <c r="F17" s="178">
        <v>29548.74</v>
      </c>
      <c r="G17" s="121"/>
      <c r="H17" s="121"/>
      <c r="I17" s="121"/>
      <c r="J17" s="121"/>
      <c r="K17" s="121"/>
      <c r="L17" s="121"/>
      <c r="M17" s="121"/>
      <c r="N17" s="121"/>
      <c r="O17" s="121"/>
      <c r="P17" s="122">
        <f t="shared" si="0"/>
        <v>56175.94</v>
      </c>
    </row>
    <row r="18" spans="2:16" x14ac:dyDescent="0.3">
      <c r="B18" s="65">
        <v>14</v>
      </c>
      <c r="C18" s="42" t="s">
        <v>200</v>
      </c>
      <c r="D18" s="121">
        <v>385.78</v>
      </c>
      <c r="E18" s="121">
        <v>273.85000000000002</v>
      </c>
      <c r="F18" s="121">
        <v>357.85</v>
      </c>
      <c r="G18" s="121"/>
      <c r="H18" s="121"/>
      <c r="I18" s="121"/>
      <c r="J18" s="121"/>
      <c r="K18" s="121"/>
      <c r="L18" s="121"/>
      <c r="M18" s="121"/>
      <c r="N18" s="121"/>
      <c r="O18" s="121"/>
      <c r="P18" s="122">
        <f t="shared" si="0"/>
        <v>1017.48</v>
      </c>
    </row>
    <row r="19" spans="2:16" x14ac:dyDescent="0.3">
      <c r="B19" s="65">
        <v>15</v>
      </c>
      <c r="C19" s="42" t="s">
        <v>103</v>
      </c>
      <c r="D19" s="121">
        <v>133.02000000000001</v>
      </c>
      <c r="E19" s="121">
        <v>133.01</v>
      </c>
      <c r="F19" s="121">
        <v>133.03</v>
      </c>
      <c r="G19" s="121"/>
      <c r="H19" s="121"/>
      <c r="I19" s="121"/>
      <c r="J19" s="121"/>
      <c r="K19" s="121"/>
      <c r="L19" s="121"/>
      <c r="M19" s="121"/>
      <c r="N19" s="121"/>
      <c r="O19" s="121"/>
      <c r="P19" s="122">
        <f t="shared" si="0"/>
        <v>399.05999999999995</v>
      </c>
    </row>
    <row r="20" spans="2:16" x14ac:dyDescent="0.3">
      <c r="B20" s="65">
        <v>16</v>
      </c>
      <c r="C20" s="42" t="s">
        <v>104</v>
      </c>
      <c r="D20" s="121">
        <v>18.350000000000001</v>
      </c>
      <c r="E20" s="121">
        <v>183.55</v>
      </c>
      <c r="F20" s="121">
        <v>183.59</v>
      </c>
      <c r="G20" s="121"/>
      <c r="H20" s="121"/>
      <c r="I20" s="121"/>
      <c r="J20" s="121"/>
      <c r="K20" s="121"/>
      <c r="L20" s="121"/>
      <c r="M20" s="121"/>
      <c r="N20" s="121"/>
      <c r="O20" s="121"/>
      <c r="P20" s="122">
        <f t="shared" si="0"/>
        <v>385.49</v>
      </c>
    </row>
    <row r="21" spans="2:16" x14ac:dyDescent="0.3">
      <c r="B21" s="65">
        <v>17</v>
      </c>
      <c r="C21" s="42" t="s">
        <v>201</v>
      </c>
      <c r="D21" s="121">
        <v>19097</v>
      </c>
      <c r="E21" s="121">
        <v>0</v>
      </c>
      <c r="F21" s="121">
        <v>0</v>
      </c>
      <c r="G21" s="121"/>
      <c r="H21" s="121"/>
      <c r="I21" s="121"/>
      <c r="J21" s="121"/>
      <c r="K21" s="121"/>
      <c r="L21" s="121"/>
      <c r="M21" s="121"/>
      <c r="N21" s="121"/>
      <c r="O21" s="121"/>
      <c r="P21" s="122">
        <f t="shared" si="0"/>
        <v>19097</v>
      </c>
    </row>
    <row r="22" spans="2:16" x14ac:dyDescent="0.3">
      <c r="B22" s="65">
        <v>18</v>
      </c>
      <c r="C22" s="42" t="s">
        <v>105</v>
      </c>
      <c r="D22" s="121">
        <v>99.76</v>
      </c>
      <c r="E22" s="121">
        <v>99.76</v>
      </c>
      <c r="F22" s="121">
        <v>99.76</v>
      </c>
      <c r="G22" s="121"/>
      <c r="H22" s="121"/>
      <c r="I22" s="121"/>
      <c r="J22" s="121"/>
      <c r="K22" s="121"/>
      <c r="L22" s="121"/>
      <c r="M22" s="121"/>
      <c r="N22" s="121"/>
      <c r="O22" s="121"/>
      <c r="P22" s="122">
        <f t="shared" si="0"/>
        <v>299.28000000000003</v>
      </c>
    </row>
    <row r="23" spans="2:16" x14ac:dyDescent="0.3">
      <c r="B23" s="65">
        <v>19</v>
      </c>
      <c r="C23" s="42" t="s">
        <v>106</v>
      </c>
      <c r="D23" s="121">
        <v>1134.97</v>
      </c>
      <c r="E23" s="121">
        <v>1102.08</v>
      </c>
      <c r="F23" s="121">
        <v>1135.42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22">
        <f t="shared" si="0"/>
        <v>3372.4700000000003</v>
      </c>
    </row>
    <row r="24" spans="2:16" x14ac:dyDescent="0.3">
      <c r="B24" s="65">
        <v>20</v>
      </c>
      <c r="C24" s="42" t="s">
        <v>108</v>
      </c>
      <c r="D24" s="121">
        <v>131.1</v>
      </c>
      <c r="E24" s="121">
        <v>127.29</v>
      </c>
      <c r="F24" s="121">
        <v>131.11000000000001</v>
      </c>
      <c r="G24" s="121"/>
      <c r="H24" s="121"/>
      <c r="I24" s="121"/>
      <c r="J24" s="121"/>
      <c r="K24" s="121"/>
      <c r="L24" s="121"/>
      <c r="M24" s="121"/>
      <c r="N24" s="121"/>
      <c r="O24" s="121"/>
      <c r="P24" s="122">
        <f t="shared" si="0"/>
        <v>389.5</v>
      </c>
    </row>
    <row r="25" spans="2:16" x14ac:dyDescent="0.3">
      <c r="B25" s="65">
        <v>21</v>
      </c>
      <c r="C25" s="42" t="s">
        <v>202</v>
      </c>
      <c r="D25" s="121">
        <v>136.55000000000001</v>
      </c>
      <c r="E25" s="121">
        <v>0</v>
      </c>
      <c r="F25" s="121">
        <v>136.55000000000001</v>
      </c>
      <c r="G25" s="121"/>
      <c r="H25" s="121"/>
      <c r="I25" s="121"/>
      <c r="J25" s="121"/>
      <c r="K25" s="121"/>
      <c r="L25" s="121"/>
      <c r="M25" s="121"/>
      <c r="N25" s="121"/>
      <c r="O25" s="121"/>
      <c r="P25" s="122">
        <f t="shared" si="0"/>
        <v>273.10000000000002</v>
      </c>
    </row>
    <row r="26" spans="2:16" x14ac:dyDescent="0.3">
      <c r="B26" s="65">
        <v>22</v>
      </c>
      <c r="C26" s="42" t="s">
        <v>203</v>
      </c>
      <c r="D26" s="121">
        <v>378.27</v>
      </c>
      <c r="E26" s="121">
        <v>367.33</v>
      </c>
      <c r="F26" s="121">
        <v>397.29</v>
      </c>
      <c r="G26" s="121"/>
      <c r="H26" s="121"/>
      <c r="I26" s="121"/>
      <c r="J26" s="121"/>
      <c r="K26" s="121"/>
      <c r="L26" s="121"/>
      <c r="M26" s="121"/>
      <c r="N26" s="121"/>
      <c r="O26" s="121"/>
      <c r="P26" s="122">
        <f t="shared" si="0"/>
        <v>1142.8899999999999</v>
      </c>
    </row>
    <row r="27" spans="2:16" x14ac:dyDescent="0.3">
      <c r="B27" s="65">
        <v>23</v>
      </c>
      <c r="C27" s="42" t="s">
        <v>204</v>
      </c>
      <c r="D27" s="121">
        <v>1488.49</v>
      </c>
      <c r="E27" s="121">
        <v>0</v>
      </c>
      <c r="F27" s="121">
        <v>0</v>
      </c>
      <c r="G27" s="121"/>
      <c r="H27" s="121"/>
      <c r="I27" s="121"/>
      <c r="J27" s="121"/>
      <c r="K27" s="121"/>
      <c r="L27" s="121"/>
      <c r="M27" s="121"/>
      <c r="N27" s="121"/>
      <c r="O27" s="121"/>
      <c r="P27" s="122">
        <f t="shared" si="0"/>
        <v>1488.49</v>
      </c>
    </row>
    <row r="28" spans="2:16" x14ac:dyDescent="0.3">
      <c r="B28" s="65">
        <v>24</v>
      </c>
      <c r="C28" s="42" t="s">
        <v>205</v>
      </c>
      <c r="D28" s="121">
        <v>397.24</v>
      </c>
      <c r="E28" s="121">
        <v>400.1</v>
      </c>
      <c r="F28" s="121">
        <v>0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2">
        <f t="shared" si="0"/>
        <v>797.34</v>
      </c>
    </row>
    <row r="29" spans="2:16" x14ac:dyDescent="0.3">
      <c r="B29" s="65">
        <v>25</v>
      </c>
      <c r="C29" s="42" t="s">
        <v>206</v>
      </c>
      <c r="D29" s="121">
        <v>317.35000000000002</v>
      </c>
      <c r="E29" s="121">
        <v>0</v>
      </c>
      <c r="F29" s="121">
        <v>0</v>
      </c>
      <c r="G29" s="121"/>
      <c r="H29" s="121"/>
      <c r="I29" s="121"/>
      <c r="J29" s="121"/>
      <c r="K29" s="121"/>
      <c r="L29" s="121"/>
      <c r="M29" s="121"/>
      <c r="N29" s="121"/>
      <c r="O29" s="121"/>
      <c r="P29" s="122">
        <f t="shared" si="0"/>
        <v>317.35000000000002</v>
      </c>
    </row>
    <row r="30" spans="2:16" x14ac:dyDescent="0.3">
      <c r="B30" s="65">
        <v>26</v>
      </c>
      <c r="C30" s="42" t="s">
        <v>296</v>
      </c>
      <c r="D30" s="121"/>
      <c r="E30" s="121">
        <v>5700.5</v>
      </c>
      <c r="F30" s="121">
        <v>0</v>
      </c>
      <c r="G30" s="121"/>
      <c r="H30" s="121"/>
      <c r="I30" s="121"/>
      <c r="J30" s="121"/>
      <c r="K30" s="121"/>
      <c r="L30" s="121"/>
      <c r="M30" s="121"/>
      <c r="N30" s="121"/>
      <c r="O30" s="121"/>
      <c r="P30" s="122">
        <f t="shared" si="0"/>
        <v>5700.5</v>
      </c>
    </row>
    <row r="31" spans="2:16" x14ac:dyDescent="0.3">
      <c r="B31" s="65">
        <v>27</v>
      </c>
      <c r="C31" s="42" t="s">
        <v>297</v>
      </c>
      <c r="D31" s="121"/>
      <c r="E31" s="121">
        <v>22</v>
      </c>
      <c r="F31" s="121">
        <v>0</v>
      </c>
      <c r="G31" s="121"/>
      <c r="H31" s="121"/>
      <c r="I31" s="121"/>
      <c r="J31" s="121"/>
      <c r="K31" s="121"/>
      <c r="L31" s="121"/>
      <c r="M31" s="121"/>
      <c r="N31" s="121"/>
      <c r="O31" s="121"/>
      <c r="P31" s="122">
        <f t="shared" si="0"/>
        <v>22</v>
      </c>
    </row>
    <row r="32" spans="2:16" x14ac:dyDescent="0.3">
      <c r="B32" s="65">
        <v>28</v>
      </c>
      <c r="C32" s="42" t="s">
        <v>298</v>
      </c>
      <c r="D32" s="121"/>
      <c r="E32" s="121">
        <v>106.53</v>
      </c>
      <c r="F32" s="121">
        <v>35.42</v>
      </c>
      <c r="G32" s="121"/>
      <c r="H32" s="121"/>
      <c r="I32" s="121"/>
      <c r="J32" s="121"/>
      <c r="K32" s="121"/>
      <c r="L32" s="121"/>
      <c r="M32" s="121"/>
      <c r="N32" s="121"/>
      <c r="O32" s="121"/>
      <c r="P32" s="122">
        <f t="shared" si="0"/>
        <v>141.94999999999999</v>
      </c>
    </row>
    <row r="33" spans="2:16" x14ac:dyDescent="0.3">
      <c r="B33" s="65">
        <v>29</v>
      </c>
      <c r="C33" s="42" t="s">
        <v>308</v>
      </c>
      <c r="D33" s="121"/>
      <c r="E33" s="121"/>
      <c r="F33" s="121">
        <v>603.02</v>
      </c>
      <c r="G33" s="121"/>
      <c r="H33" s="121"/>
      <c r="I33" s="121"/>
      <c r="J33" s="121"/>
      <c r="K33" s="121"/>
      <c r="L33" s="121"/>
      <c r="M33" s="121"/>
      <c r="N33" s="121"/>
      <c r="O33" s="121"/>
      <c r="P33" s="122">
        <f t="shared" si="0"/>
        <v>603.02</v>
      </c>
    </row>
    <row r="34" spans="2:16" x14ac:dyDescent="0.3">
      <c r="B34" s="65">
        <v>30</v>
      </c>
      <c r="C34" s="42" t="s">
        <v>309</v>
      </c>
      <c r="D34" s="121"/>
      <c r="E34" s="121"/>
      <c r="F34" s="121">
        <v>8199</v>
      </c>
      <c r="G34" s="121"/>
      <c r="H34" s="121"/>
      <c r="I34" s="121"/>
      <c r="J34" s="121"/>
      <c r="K34" s="121"/>
      <c r="L34" s="121"/>
      <c r="M34" s="121"/>
      <c r="N34" s="121"/>
      <c r="O34" s="121"/>
      <c r="P34" s="122">
        <f t="shared" si="0"/>
        <v>8199</v>
      </c>
    </row>
    <row r="35" spans="2:16" x14ac:dyDescent="0.3">
      <c r="B35" s="65">
        <v>31</v>
      </c>
      <c r="C35" s="42" t="s">
        <v>310</v>
      </c>
      <c r="D35" s="121"/>
      <c r="E35" s="121"/>
      <c r="F35" s="121">
        <v>39.729999999999997</v>
      </c>
      <c r="G35" s="121"/>
      <c r="H35" s="121"/>
      <c r="I35" s="121"/>
      <c r="J35" s="121"/>
      <c r="K35" s="121"/>
      <c r="L35" s="121"/>
      <c r="M35" s="121"/>
      <c r="N35" s="121"/>
      <c r="O35" s="121"/>
      <c r="P35" s="122">
        <f t="shared" si="0"/>
        <v>39.729999999999997</v>
      </c>
    </row>
    <row r="36" spans="2:16" x14ac:dyDescent="0.3">
      <c r="B36" s="65">
        <v>32</v>
      </c>
      <c r="C36" s="42" t="s">
        <v>311</v>
      </c>
      <c r="D36" s="121"/>
      <c r="E36" s="121"/>
      <c r="F36" s="121">
        <v>315.14999999999998</v>
      </c>
      <c r="G36" s="121"/>
      <c r="H36" s="121"/>
      <c r="I36" s="121"/>
      <c r="J36" s="121"/>
      <c r="K36" s="121"/>
      <c r="L36" s="121"/>
      <c r="M36" s="121"/>
      <c r="N36" s="121"/>
      <c r="O36" s="121"/>
      <c r="P36" s="122">
        <f t="shared" si="0"/>
        <v>315.14999999999998</v>
      </c>
    </row>
    <row r="37" spans="2:16" x14ac:dyDescent="0.3">
      <c r="B37" s="67"/>
      <c r="C37" s="68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4">
        <f t="shared" si="0"/>
        <v>0</v>
      </c>
    </row>
    <row r="38" spans="2:16" ht="15" thickBot="1" x14ac:dyDescent="0.35">
      <c r="B38" s="114"/>
      <c r="C38" s="72" t="s">
        <v>208</v>
      </c>
      <c r="D38" s="125">
        <f>SUM(D5:D37)</f>
        <v>43941.659999999989</v>
      </c>
      <c r="E38" s="125">
        <f>SUM(E5:E37)</f>
        <v>41607.920000000006</v>
      </c>
      <c r="F38" s="125">
        <f>SUM(F5:F37)</f>
        <v>53458.97</v>
      </c>
      <c r="G38" s="125">
        <f>SUM(G5:G37)</f>
        <v>0</v>
      </c>
      <c r="H38" s="125">
        <f>SUM(H5:H37)</f>
        <v>0</v>
      </c>
      <c r="I38" s="125">
        <f>SUM(I5:I37)</f>
        <v>0</v>
      </c>
      <c r="J38" s="125">
        <f>SUM(J5:J37)</f>
        <v>0</v>
      </c>
      <c r="K38" s="125">
        <f>SUM(K5:K37)</f>
        <v>0</v>
      </c>
      <c r="L38" s="125">
        <f>SUM(L5:L37)</f>
        <v>0</v>
      </c>
      <c r="M38" s="125">
        <f>SUM(M5:M37)</f>
        <v>0</v>
      </c>
      <c r="N38" s="125">
        <f>SUM(N5:N37)</f>
        <v>0</v>
      </c>
      <c r="O38" s="125">
        <f>SUM(O5:O37)</f>
        <v>0</v>
      </c>
      <c r="P38" s="126">
        <f>SUM(P5:P37)</f>
        <v>139008.55000000002</v>
      </c>
    </row>
    <row r="39" spans="2:16" ht="15" thickBot="1" x14ac:dyDescent="0.35">
      <c r="B39" s="114"/>
      <c r="C39" s="72" t="s">
        <v>207</v>
      </c>
      <c r="D39" s="73">
        <f>D38/5.04</f>
        <v>8718.5833333333303</v>
      </c>
      <c r="E39" s="73">
        <f>E38/4.95</f>
        <v>8405.640404040405</v>
      </c>
      <c r="F39" s="73">
        <f>F38/4.85</f>
        <v>11022.468041237114</v>
      </c>
      <c r="G39" s="73">
        <f t="shared" ref="G39:O39" si="1">G38/5.04</f>
        <v>0</v>
      </c>
      <c r="H39" s="73">
        <f t="shared" si="1"/>
        <v>0</v>
      </c>
      <c r="I39" s="73">
        <f t="shared" si="1"/>
        <v>0</v>
      </c>
      <c r="J39" s="73">
        <f t="shared" si="1"/>
        <v>0</v>
      </c>
      <c r="K39" s="73">
        <f t="shared" si="1"/>
        <v>0</v>
      </c>
      <c r="L39" s="73">
        <f t="shared" si="1"/>
        <v>0</v>
      </c>
      <c r="M39" s="73">
        <f t="shared" si="1"/>
        <v>0</v>
      </c>
      <c r="N39" s="73">
        <f t="shared" si="1"/>
        <v>0</v>
      </c>
      <c r="O39" s="73">
        <f t="shared" si="1"/>
        <v>0</v>
      </c>
      <c r="P39" s="74">
        <f>SUM(D39:O39)</f>
        <v>28146.691778610853</v>
      </c>
    </row>
    <row r="42" spans="2:16" ht="15" thickBot="1" x14ac:dyDescent="0.35">
      <c r="B42" s="24" t="s">
        <v>275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</row>
    <row r="43" spans="2:16" ht="19.2" customHeight="1" x14ac:dyDescent="0.3">
      <c r="B43" s="113"/>
      <c r="C43" s="69"/>
      <c r="D43" s="70" t="s">
        <v>167</v>
      </c>
      <c r="E43" s="70" t="s">
        <v>168</v>
      </c>
      <c r="F43" s="70" t="s">
        <v>169</v>
      </c>
      <c r="G43" s="70" t="s">
        <v>170</v>
      </c>
      <c r="H43" s="70" t="s">
        <v>171</v>
      </c>
      <c r="I43" s="70" t="s">
        <v>172</v>
      </c>
      <c r="J43" s="70" t="s">
        <v>173</v>
      </c>
      <c r="K43" s="70" t="s">
        <v>174</v>
      </c>
      <c r="L43" s="70" t="s">
        <v>175</v>
      </c>
      <c r="M43" s="70" t="s">
        <v>176</v>
      </c>
      <c r="N43" s="70" t="s">
        <v>177</v>
      </c>
      <c r="O43" s="70" t="s">
        <v>178</v>
      </c>
      <c r="P43" s="71" t="s">
        <v>153</v>
      </c>
    </row>
    <row r="44" spans="2:16" x14ac:dyDescent="0.3">
      <c r="B44" s="65">
        <v>1</v>
      </c>
      <c r="C44" s="42" t="s">
        <v>190</v>
      </c>
      <c r="D44" s="127">
        <v>27264.756666666668</v>
      </c>
      <c r="E44" s="127">
        <v>27264.756666666668</v>
      </c>
      <c r="F44" s="127">
        <v>27264.756666666668</v>
      </c>
      <c r="G44" s="127"/>
      <c r="H44" s="127"/>
      <c r="I44" s="127"/>
      <c r="J44" s="127"/>
      <c r="K44" s="127"/>
      <c r="L44" s="127"/>
      <c r="M44" s="127"/>
      <c r="N44" s="127"/>
      <c r="O44" s="127"/>
      <c r="P44" s="128">
        <f t="shared" ref="P44:P49" si="2">SUM(D44:O44)</f>
        <v>81794.27</v>
      </c>
    </row>
    <row r="45" spans="2:16" x14ac:dyDescent="0.3">
      <c r="B45" s="65">
        <v>2</v>
      </c>
      <c r="C45" s="42" t="s">
        <v>58</v>
      </c>
      <c r="D45" s="127">
        <v>18269.642857142859</v>
      </c>
      <c r="E45" s="127">
        <v>18274.539393939394</v>
      </c>
      <c r="F45" s="127">
        <v>15798.480412371136</v>
      </c>
      <c r="G45" s="127"/>
      <c r="H45" s="127"/>
      <c r="I45" s="127"/>
      <c r="J45" s="127"/>
      <c r="K45" s="127"/>
      <c r="L45" s="127"/>
      <c r="M45" s="127"/>
      <c r="N45" s="127"/>
      <c r="O45" s="127"/>
      <c r="P45" s="128">
        <f t="shared" si="2"/>
        <v>52342.66266345339</v>
      </c>
    </row>
    <row r="46" spans="2:16" x14ac:dyDescent="0.3">
      <c r="B46" s="65">
        <v>3</v>
      </c>
      <c r="C46" s="42" t="s">
        <v>119</v>
      </c>
      <c r="D46" s="127">
        <v>13043.478260869566</v>
      </c>
      <c r="E46" s="127">
        <v>13146.362839614374</v>
      </c>
      <c r="F46" s="127">
        <v>13032.145960034752</v>
      </c>
      <c r="G46" s="127"/>
      <c r="H46" s="127"/>
      <c r="I46" s="127"/>
      <c r="J46" s="127"/>
      <c r="K46" s="127"/>
      <c r="L46" s="127"/>
      <c r="M46" s="127"/>
      <c r="N46" s="127"/>
      <c r="O46" s="127"/>
      <c r="P46" s="128">
        <f t="shared" si="2"/>
        <v>39221.987060518688</v>
      </c>
    </row>
    <row r="47" spans="2:16" x14ac:dyDescent="0.3">
      <c r="B47" s="65">
        <v>4</v>
      </c>
      <c r="C47" s="42" t="s">
        <v>120</v>
      </c>
      <c r="D47" s="127">
        <v>2806.5</v>
      </c>
      <c r="E47" s="127">
        <v>2001</v>
      </c>
      <c r="F47" s="127">
        <v>2733</v>
      </c>
      <c r="G47" s="127"/>
      <c r="H47" s="127"/>
      <c r="I47" s="127"/>
      <c r="J47" s="127"/>
      <c r="K47" s="127"/>
      <c r="L47" s="127"/>
      <c r="M47" s="127"/>
      <c r="N47" s="127"/>
      <c r="O47" s="127"/>
      <c r="P47" s="128">
        <f t="shared" si="2"/>
        <v>7540.5</v>
      </c>
    </row>
    <row r="48" spans="2:16" x14ac:dyDescent="0.3">
      <c r="B48" s="65">
        <v>5</v>
      </c>
      <c r="C48" s="42" t="s">
        <v>192</v>
      </c>
      <c r="D48" s="127">
        <v>24362.608695652176</v>
      </c>
      <c r="E48" s="127">
        <v>27017.528483786151</v>
      </c>
      <c r="F48" s="127">
        <v>33020.851433536052</v>
      </c>
      <c r="G48" s="127"/>
      <c r="H48" s="127"/>
      <c r="I48" s="127"/>
      <c r="J48" s="127"/>
      <c r="K48" s="127"/>
      <c r="L48" s="127"/>
      <c r="M48" s="127"/>
      <c r="N48" s="127"/>
      <c r="O48" s="127"/>
      <c r="P48" s="128">
        <f t="shared" si="2"/>
        <v>84400.988612974383</v>
      </c>
    </row>
    <row r="49" spans="2:16" x14ac:dyDescent="0.3">
      <c r="B49" s="65">
        <v>6</v>
      </c>
      <c r="C49" s="42" t="s">
        <v>21</v>
      </c>
      <c r="D49" s="127">
        <v>4782.608695652174</v>
      </c>
      <c r="E49" s="127">
        <v>4820.3330411919369</v>
      </c>
      <c r="F49" s="127">
        <v>4778.4535186794092</v>
      </c>
      <c r="G49" s="127"/>
      <c r="H49" s="127"/>
      <c r="I49" s="127"/>
      <c r="J49" s="127"/>
      <c r="K49" s="127"/>
      <c r="L49" s="127"/>
      <c r="M49" s="127"/>
      <c r="N49" s="127"/>
      <c r="O49" s="127"/>
      <c r="P49" s="128">
        <f t="shared" si="2"/>
        <v>14381.395255523519</v>
      </c>
    </row>
    <row r="50" spans="2:16" x14ac:dyDescent="0.3">
      <c r="B50" s="65">
        <v>7</v>
      </c>
      <c r="C50" s="42" t="s">
        <v>193</v>
      </c>
      <c r="D50" s="127">
        <v>4173.913043478261</v>
      </c>
      <c r="E50" s="127">
        <v>4206.836108676599</v>
      </c>
      <c r="F50" s="127">
        <v>4170.2867072111203</v>
      </c>
      <c r="G50" s="127"/>
      <c r="H50" s="127"/>
      <c r="I50" s="127"/>
      <c r="J50" s="127"/>
      <c r="K50" s="127"/>
      <c r="L50" s="127"/>
      <c r="M50" s="127"/>
      <c r="N50" s="127"/>
      <c r="O50" s="127"/>
      <c r="P50" s="128"/>
    </row>
    <row r="51" spans="2:16" x14ac:dyDescent="0.3">
      <c r="B51" s="65">
        <v>8</v>
      </c>
      <c r="C51" s="42" t="s">
        <v>194</v>
      </c>
      <c r="D51" s="127">
        <v>7585.1478260869571</v>
      </c>
      <c r="E51" s="127">
        <v>8107.5723049956177</v>
      </c>
      <c r="F51" s="127">
        <v>8568.1146828844485</v>
      </c>
      <c r="G51" s="127"/>
      <c r="H51" s="127"/>
      <c r="I51" s="127"/>
      <c r="J51" s="127"/>
      <c r="K51" s="127"/>
      <c r="L51" s="127"/>
      <c r="M51" s="127"/>
      <c r="N51" s="127"/>
      <c r="O51" s="127"/>
      <c r="P51" s="128"/>
    </row>
    <row r="52" spans="2:16" x14ac:dyDescent="0.3">
      <c r="B52" s="65">
        <v>9</v>
      </c>
      <c r="C52" s="42" t="s">
        <v>195</v>
      </c>
      <c r="D52" s="127">
        <v>4347.826086956522</v>
      </c>
      <c r="E52" s="127">
        <v>4382.1209465381244</v>
      </c>
      <c r="F52" s="127">
        <v>4344.0486533449175</v>
      </c>
      <c r="G52" s="127"/>
      <c r="H52" s="127"/>
      <c r="I52" s="127"/>
      <c r="J52" s="127"/>
      <c r="K52" s="127"/>
      <c r="L52" s="127"/>
      <c r="M52" s="127"/>
      <c r="N52" s="127"/>
      <c r="O52" s="127"/>
      <c r="P52" s="128"/>
    </row>
    <row r="53" spans="2:16" x14ac:dyDescent="0.3">
      <c r="B53" s="67"/>
      <c r="C53" s="68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30">
        <f t="shared" ref="P53" si="3">SUM(D53:O53)</f>
        <v>0</v>
      </c>
    </row>
    <row r="54" spans="2:16" ht="15" thickBot="1" x14ac:dyDescent="0.35">
      <c r="B54" s="114"/>
      <c r="C54" s="72" t="s">
        <v>207</v>
      </c>
      <c r="D54" s="131">
        <f>SUM(D44:D53)</f>
        <v>106636.48213250519</v>
      </c>
      <c r="E54" s="131">
        <f>SUM(E44:E53)</f>
        <v>109221.04978540886</v>
      </c>
      <c r="F54" s="131">
        <f>SUM(F44:F53)</f>
        <v>113710.1380347285</v>
      </c>
      <c r="G54" s="131">
        <f>SUM(G44:G53)</f>
        <v>0</v>
      </c>
      <c r="H54" s="131">
        <f>SUM(H44:H53)</f>
        <v>0</v>
      </c>
      <c r="I54" s="131">
        <f>SUM(I44:I53)</f>
        <v>0</v>
      </c>
      <c r="J54" s="131">
        <f>SUM(J44:J53)</f>
        <v>0</v>
      </c>
      <c r="K54" s="131">
        <f>SUM(K44:K53)</f>
        <v>0</v>
      </c>
      <c r="L54" s="131">
        <f>SUM(L44:L53)</f>
        <v>0</v>
      </c>
      <c r="M54" s="131">
        <f>SUM(M44:M53)</f>
        <v>0</v>
      </c>
      <c r="N54" s="131">
        <f>SUM(N44:N53)</f>
        <v>0</v>
      </c>
      <c r="O54" s="131">
        <f>SUM(O44:O53)</f>
        <v>0</v>
      </c>
      <c r="P54" s="132">
        <f>SUM(P44:P53)</f>
        <v>279681.80359247001</v>
      </c>
    </row>
    <row r="57" spans="2:16" ht="15" thickBot="1" x14ac:dyDescent="0.35">
      <c r="B57" s="24" t="s">
        <v>263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</row>
    <row r="58" spans="2:16" ht="19.2" customHeight="1" x14ac:dyDescent="0.3">
      <c r="B58" s="113"/>
      <c r="C58" s="69"/>
      <c r="D58" s="70" t="s">
        <v>167</v>
      </c>
      <c r="E58" s="70" t="s">
        <v>168</v>
      </c>
      <c r="F58" s="70" t="s">
        <v>169</v>
      </c>
      <c r="G58" s="70" t="s">
        <v>170</v>
      </c>
      <c r="H58" s="70" t="s">
        <v>171</v>
      </c>
      <c r="I58" s="70" t="s">
        <v>172</v>
      </c>
      <c r="J58" s="70" t="s">
        <v>173</v>
      </c>
      <c r="K58" s="70" t="s">
        <v>174</v>
      </c>
      <c r="L58" s="70" t="s">
        <v>175</v>
      </c>
      <c r="M58" s="70" t="s">
        <v>176</v>
      </c>
      <c r="N58" s="70" t="s">
        <v>177</v>
      </c>
      <c r="O58" s="70" t="s">
        <v>178</v>
      </c>
      <c r="P58" s="71" t="s">
        <v>153</v>
      </c>
    </row>
    <row r="59" spans="2:16" x14ac:dyDescent="0.3">
      <c r="B59" s="65">
        <v>1</v>
      </c>
      <c r="C59" s="42" t="s">
        <v>23</v>
      </c>
      <c r="D59" s="115">
        <v>71000</v>
      </c>
      <c r="E59" s="115">
        <v>71000</v>
      </c>
      <c r="F59" s="115">
        <v>71000</v>
      </c>
      <c r="G59" s="115"/>
      <c r="H59" s="115"/>
      <c r="I59" s="115"/>
      <c r="J59" s="115"/>
      <c r="K59" s="115"/>
      <c r="L59" s="115"/>
      <c r="M59" s="115"/>
      <c r="N59" s="115"/>
      <c r="O59" s="115"/>
      <c r="P59" s="116">
        <f t="shared" ref="P59:P68" si="4">SUM(D59:O59)</f>
        <v>213000</v>
      </c>
    </row>
    <row r="60" spans="2:16" x14ac:dyDescent="0.3">
      <c r="B60" s="65">
        <v>2</v>
      </c>
      <c r="C60" s="42" t="s">
        <v>29</v>
      </c>
      <c r="D60" s="115">
        <v>35000</v>
      </c>
      <c r="E60" s="115">
        <v>35000</v>
      </c>
      <c r="F60" s="115">
        <v>35000</v>
      </c>
      <c r="G60" s="115"/>
      <c r="H60" s="115"/>
      <c r="I60" s="115"/>
      <c r="J60" s="115"/>
      <c r="K60" s="115"/>
      <c r="L60" s="115"/>
      <c r="M60" s="115"/>
      <c r="N60" s="115"/>
      <c r="O60" s="115"/>
      <c r="P60" s="116">
        <f t="shared" si="4"/>
        <v>105000</v>
      </c>
    </row>
    <row r="61" spans="2:16" x14ac:dyDescent="0.3">
      <c r="B61" s="65">
        <v>3</v>
      </c>
      <c r="C61" s="42" t="s">
        <v>56</v>
      </c>
      <c r="D61" s="115">
        <v>30000</v>
      </c>
      <c r="E61" s="115">
        <v>30000</v>
      </c>
      <c r="F61" s="115">
        <v>30000</v>
      </c>
      <c r="G61" s="115"/>
      <c r="H61" s="115"/>
      <c r="I61" s="115"/>
      <c r="J61" s="115"/>
      <c r="K61" s="115"/>
      <c r="L61" s="115"/>
      <c r="M61" s="115"/>
      <c r="N61" s="115"/>
      <c r="O61" s="115"/>
      <c r="P61" s="116">
        <f t="shared" si="4"/>
        <v>90000</v>
      </c>
    </row>
    <row r="62" spans="2:16" x14ac:dyDescent="0.3">
      <c r="B62" s="65">
        <v>4</v>
      </c>
      <c r="C62" s="42" t="s">
        <v>213</v>
      </c>
      <c r="D62" s="115">
        <v>30000</v>
      </c>
      <c r="E62" s="115">
        <v>30000</v>
      </c>
      <c r="F62" s="115">
        <v>30000</v>
      </c>
      <c r="G62" s="115"/>
      <c r="H62" s="115"/>
      <c r="I62" s="115"/>
      <c r="J62" s="115"/>
      <c r="K62" s="115"/>
      <c r="L62" s="115"/>
      <c r="M62" s="115"/>
      <c r="N62" s="115"/>
      <c r="O62" s="115"/>
      <c r="P62" s="116">
        <f t="shared" si="4"/>
        <v>90000</v>
      </c>
    </row>
    <row r="63" spans="2:16" x14ac:dyDescent="0.3">
      <c r="B63" s="65">
        <v>5</v>
      </c>
      <c r="C63" s="42" t="s">
        <v>33</v>
      </c>
      <c r="D63" s="115">
        <v>20000</v>
      </c>
      <c r="E63" s="115">
        <v>0</v>
      </c>
      <c r="F63" s="115">
        <v>0</v>
      </c>
      <c r="G63" s="115"/>
      <c r="H63" s="115"/>
      <c r="I63" s="115"/>
      <c r="J63" s="115"/>
      <c r="K63" s="115"/>
      <c r="L63" s="115"/>
      <c r="M63" s="115"/>
      <c r="N63" s="115"/>
      <c r="O63" s="115"/>
      <c r="P63" s="116">
        <f t="shared" si="4"/>
        <v>20000</v>
      </c>
    </row>
    <row r="64" spans="2:16" x14ac:dyDescent="0.3">
      <c r="B64" s="65">
        <v>6</v>
      </c>
      <c r="C64" s="42" t="s">
        <v>32</v>
      </c>
      <c r="D64" s="115">
        <v>20000</v>
      </c>
      <c r="E64" s="115">
        <v>20000</v>
      </c>
      <c r="F64" s="115">
        <v>20000</v>
      </c>
      <c r="G64" s="115"/>
      <c r="H64" s="115"/>
      <c r="I64" s="115"/>
      <c r="J64" s="115"/>
      <c r="K64" s="115"/>
      <c r="L64" s="115"/>
      <c r="M64" s="115"/>
      <c r="N64" s="115"/>
      <c r="O64" s="115"/>
      <c r="P64" s="116">
        <f t="shared" si="4"/>
        <v>60000</v>
      </c>
    </row>
    <row r="65" spans="2:16" x14ac:dyDescent="0.3">
      <c r="B65" s="65">
        <v>7</v>
      </c>
      <c r="C65" s="42" t="s">
        <v>214</v>
      </c>
      <c r="D65" s="115">
        <v>20000</v>
      </c>
      <c r="E65" s="115">
        <v>0</v>
      </c>
      <c r="F65" s="115">
        <v>0</v>
      </c>
      <c r="G65" s="115"/>
      <c r="H65" s="115"/>
      <c r="I65" s="115"/>
      <c r="J65" s="115"/>
      <c r="K65" s="115"/>
      <c r="L65" s="115"/>
      <c r="M65" s="115"/>
      <c r="N65" s="115"/>
      <c r="O65" s="115"/>
      <c r="P65" s="116">
        <f t="shared" si="4"/>
        <v>20000</v>
      </c>
    </row>
    <row r="66" spans="2:16" x14ac:dyDescent="0.3">
      <c r="B66" s="65">
        <v>8</v>
      </c>
      <c r="C66" s="42" t="s">
        <v>30</v>
      </c>
      <c r="D66" s="115">
        <v>35000</v>
      </c>
      <c r="E66" s="115">
        <v>35000</v>
      </c>
      <c r="F66" s="115">
        <v>35000</v>
      </c>
      <c r="G66" s="115"/>
      <c r="H66" s="115"/>
      <c r="I66" s="115"/>
      <c r="J66" s="115"/>
      <c r="K66" s="115"/>
      <c r="L66" s="115"/>
      <c r="M66" s="115"/>
      <c r="N66" s="115"/>
      <c r="O66" s="115"/>
      <c r="P66" s="116">
        <f t="shared" si="4"/>
        <v>105000</v>
      </c>
    </row>
    <row r="67" spans="2:16" x14ac:dyDescent="0.3">
      <c r="B67" s="65">
        <v>9</v>
      </c>
      <c r="C67" s="42" t="s">
        <v>304</v>
      </c>
      <c r="D67" s="115">
        <v>2386</v>
      </c>
      <c r="E67" s="115">
        <v>2386</v>
      </c>
      <c r="F67" s="115">
        <v>2386</v>
      </c>
      <c r="G67" s="115"/>
      <c r="H67" s="115"/>
      <c r="I67" s="115"/>
      <c r="J67" s="115"/>
      <c r="K67" s="115"/>
      <c r="L67" s="115"/>
      <c r="M67" s="115"/>
      <c r="N67" s="115"/>
      <c r="O67" s="115"/>
      <c r="P67" s="116">
        <f t="shared" si="4"/>
        <v>7158</v>
      </c>
    </row>
    <row r="68" spans="2:16" x14ac:dyDescent="0.3">
      <c r="B68" s="67"/>
      <c r="C68" s="68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8">
        <f t="shared" si="4"/>
        <v>0</v>
      </c>
    </row>
    <row r="69" spans="2:16" ht="15" thickBot="1" x14ac:dyDescent="0.35">
      <c r="B69" s="114"/>
      <c r="C69" s="72" t="s">
        <v>215</v>
      </c>
      <c r="D69" s="119">
        <f>SUM(D59:D68)</f>
        <v>263386</v>
      </c>
      <c r="E69" s="119">
        <f t="shared" ref="E69:P69" si="5">SUM(E59:E68)</f>
        <v>223386</v>
      </c>
      <c r="F69" s="119">
        <f t="shared" si="5"/>
        <v>223386</v>
      </c>
      <c r="G69" s="119">
        <f t="shared" si="5"/>
        <v>0</v>
      </c>
      <c r="H69" s="119">
        <f t="shared" si="5"/>
        <v>0</v>
      </c>
      <c r="I69" s="119">
        <f t="shared" si="5"/>
        <v>0</v>
      </c>
      <c r="J69" s="119">
        <f t="shared" si="5"/>
        <v>0</v>
      </c>
      <c r="K69" s="119">
        <f t="shared" si="5"/>
        <v>0</v>
      </c>
      <c r="L69" s="119">
        <f t="shared" si="5"/>
        <v>0</v>
      </c>
      <c r="M69" s="119">
        <f t="shared" si="5"/>
        <v>0</v>
      </c>
      <c r="N69" s="119">
        <f t="shared" si="5"/>
        <v>0</v>
      </c>
      <c r="O69" s="119">
        <f t="shared" si="5"/>
        <v>0</v>
      </c>
      <c r="P69" s="120">
        <f t="shared" si="5"/>
        <v>710158</v>
      </c>
    </row>
    <row r="72" spans="2:16" ht="15" thickBot="1" x14ac:dyDescent="0.35">
      <c r="B72" s="24" t="s">
        <v>255</v>
      </c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</row>
    <row r="73" spans="2:16" ht="19.2" customHeight="1" x14ac:dyDescent="0.3">
      <c r="B73" s="113"/>
      <c r="C73" s="69"/>
      <c r="D73" s="70" t="s">
        <v>167</v>
      </c>
      <c r="E73" s="70" t="s">
        <v>168</v>
      </c>
      <c r="F73" s="70" t="s">
        <v>169</v>
      </c>
      <c r="G73" s="70" t="s">
        <v>170</v>
      </c>
      <c r="H73" s="70" t="s">
        <v>171</v>
      </c>
      <c r="I73" s="70" t="s">
        <v>172</v>
      </c>
      <c r="J73" s="70" t="s">
        <v>173</v>
      </c>
      <c r="K73" s="70" t="s">
        <v>174</v>
      </c>
      <c r="L73" s="70" t="s">
        <v>175</v>
      </c>
      <c r="M73" s="70" t="s">
        <v>176</v>
      </c>
      <c r="N73" s="70" t="s">
        <v>177</v>
      </c>
      <c r="O73" s="70" t="s">
        <v>178</v>
      </c>
      <c r="P73" s="71" t="s">
        <v>153</v>
      </c>
    </row>
    <row r="74" spans="2:16" x14ac:dyDescent="0.3">
      <c r="B74" s="65">
        <v>1</v>
      </c>
      <c r="C74" s="42" t="s">
        <v>216</v>
      </c>
      <c r="D74" s="127">
        <f>6498.53+346.35</f>
        <v>6844.88</v>
      </c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>
        <f t="shared" ref="P74:P79" si="6">SUM(D74:O74)</f>
        <v>6844.88</v>
      </c>
    </row>
    <row r="75" spans="2:16" x14ac:dyDescent="0.3">
      <c r="B75" s="65">
        <v>2</v>
      </c>
      <c r="C75" s="42" t="s">
        <v>217</v>
      </c>
      <c r="D75" s="127">
        <f>4104.4+228.13</f>
        <v>4332.53</v>
      </c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8">
        <f t="shared" si="6"/>
        <v>4332.53</v>
      </c>
    </row>
    <row r="76" spans="2:16" x14ac:dyDescent="0.3">
      <c r="B76" s="65">
        <v>3</v>
      </c>
      <c r="C76" s="42" t="s">
        <v>218</v>
      </c>
      <c r="D76" s="127">
        <f>3074.4+2000+171.1</f>
        <v>5245.5</v>
      </c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8">
        <f t="shared" si="6"/>
        <v>5245.5</v>
      </c>
    </row>
    <row r="77" spans="2:16" x14ac:dyDescent="0.3">
      <c r="B77" s="65">
        <v>4</v>
      </c>
      <c r="C77" s="42" t="s">
        <v>264</v>
      </c>
      <c r="D77" s="127">
        <v>5970.0199999999995</v>
      </c>
      <c r="E77" s="127">
        <v>5859.95</v>
      </c>
      <c r="F77" s="127">
        <v>5859.95</v>
      </c>
      <c r="G77" s="127"/>
      <c r="H77" s="127"/>
      <c r="I77" s="127"/>
      <c r="J77" s="127"/>
      <c r="K77" s="127"/>
      <c r="L77" s="127"/>
      <c r="M77" s="127"/>
      <c r="N77" s="127"/>
      <c r="O77" s="127"/>
      <c r="P77" s="128">
        <f t="shared" si="6"/>
        <v>17689.919999999998</v>
      </c>
    </row>
    <row r="78" spans="2:16" x14ac:dyDescent="0.3">
      <c r="B78" s="65">
        <v>5</v>
      </c>
      <c r="C78" s="42" t="s">
        <v>265</v>
      </c>
      <c r="D78" s="127">
        <v>14422.53</v>
      </c>
      <c r="E78" s="127">
        <v>4729.12</v>
      </c>
      <c r="F78" s="127">
        <v>4729.12</v>
      </c>
      <c r="G78" s="127"/>
      <c r="H78" s="127"/>
      <c r="I78" s="127"/>
      <c r="J78" s="127"/>
      <c r="K78" s="127"/>
      <c r="L78" s="127"/>
      <c r="M78" s="127"/>
      <c r="N78" s="127"/>
      <c r="O78" s="127"/>
      <c r="P78" s="128">
        <f t="shared" si="6"/>
        <v>23880.77</v>
      </c>
    </row>
    <row r="79" spans="2:16" x14ac:dyDescent="0.3">
      <c r="B79" s="65">
        <v>6</v>
      </c>
      <c r="C79" s="42" t="s">
        <v>266</v>
      </c>
      <c r="D79" s="127">
        <v>5970.0199999999995</v>
      </c>
      <c r="E79" s="127">
        <v>5859.95</v>
      </c>
      <c r="F79" s="127">
        <v>5859.95</v>
      </c>
      <c r="G79" s="127"/>
      <c r="H79" s="127"/>
      <c r="I79" s="127"/>
      <c r="J79" s="127"/>
      <c r="K79" s="127"/>
      <c r="L79" s="127"/>
      <c r="M79" s="127"/>
      <c r="N79" s="127"/>
      <c r="O79" s="127"/>
      <c r="P79" s="128">
        <f t="shared" si="6"/>
        <v>17689.919999999998</v>
      </c>
    </row>
    <row r="80" spans="2:16" x14ac:dyDescent="0.3">
      <c r="B80" s="65">
        <v>7</v>
      </c>
      <c r="C80" s="42" t="s">
        <v>300</v>
      </c>
      <c r="D80" s="127"/>
      <c r="E80" s="127">
        <v>6104</v>
      </c>
      <c r="F80" s="127">
        <v>6104</v>
      </c>
      <c r="G80" s="127"/>
      <c r="H80" s="127"/>
      <c r="I80" s="127"/>
      <c r="J80" s="127"/>
      <c r="K80" s="127"/>
      <c r="L80" s="127"/>
      <c r="M80" s="127"/>
      <c r="N80" s="127"/>
      <c r="O80" s="127"/>
      <c r="P80" s="128"/>
    </row>
    <row r="81" spans="2:16" x14ac:dyDescent="0.3">
      <c r="B81" s="65">
        <v>8</v>
      </c>
      <c r="C81" s="42" t="s">
        <v>301</v>
      </c>
      <c r="D81" s="127">
        <v>5000</v>
      </c>
      <c r="E81" s="127">
        <v>13490.59</v>
      </c>
      <c r="F81" s="127">
        <v>12015.28</v>
      </c>
      <c r="G81" s="127"/>
      <c r="H81" s="127"/>
      <c r="I81" s="127"/>
      <c r="J81" s="127"/>
      <c r="K81" s="127"/>
      <c r="L81" s="127"/>
      <c r="M81" s="127"/>
      <c r="N81" s="127"/>
      <c r="O81" s="127"/>
      <c r="P81" s="128"/>
    </row>
    <row r="82" spans="2:16" x14ac:dyDescent="0.3">
      <c r="B82" s="67"/>
      <c r="C82" s="68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30">
        <f t="shared" ref="P82" si="7">SUM(D82:O82)</f>
        <v>0</v>
      </c>
    </row>
    <row r="83" spans="2:16" ht="15" thickBot="1" x14ac:dyDescent="0.35">
      <c r="B83" s="114"/>
      <c r="C83" s="72" t="s">
        <v>207</v>
      </c>
      <c r="D83" s="131">
        <f>SUM(D74:D82)</f>
        <v>47785.479999999996</v>
      </c>
      <c r="E83" s="131">
        <f t="shared" ref="E83:P83" si="8">SUM(E74:E82)</f>
        <v>36043.61</v>
      </c>
      <c r="F83" s="131">
        <f t="shared" si="8"/>
        <v>34568.300000000003</v>
      </c>
      <c r="G83" s="131">
        <f t="shared" si="8"/>
        <v>0</v>
      </c>
      <c r="H83" s="131">
        <f t="shared" si="8"/>
        <v>0</v>
      </c>
      <c r="I83" s="131">
        <f t="shared" si="8"/>
        <v>0</v>
      </c>
      <c r="J83" s="131">
        <f t="shared" si="8"/>
        <v>0</v>
      </c>
      <c r="K83" s="131">
        <f t="shared" si="8"/>
        <v>0</v>
      </c>
      <c r="L83" s="131">
        <f t="shared" si="8"/>
        <v>0</v>
      </c>
      <c r="M83" s="131">
        <f t="shared" si="8"/>
        <v>0</v>
      </c>
      <c r="N83" s="131">
        <f t="shared" si="8"/>
        <v>0</v>
      </c>
      <c r="O83" s="131">
        <f t="shared" si="8"/>
        <v>0</v>
      </c>
      <c r="P83" s="132">
        <f t="shared" si="8"/>
        <v>75683.520000000004</v>
      </c>
    </row>
    <row r="86" spans="2:16" ht="15" thickBot="1" x14ac:dyDescent="0.35">
      <c r="B86" s="24" t="s">
        <v>219</v>
      </c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</row>
    <row r="87" spans="2:16" ht="19.2" customHeight="1" x14ac:dyDescent="0.3">
      <c r="B87" s="113"/>
      <c r="C87" s="69"/>
      <c r="D87" s="70" t="s">
        <v>167</v>
      </c>
      <c r="E87" s="70" t="s">
        <v>168</v>
      </c>
      <c r="F87" s="70" t="s">
        <v>169</v>
      </c>
      <c r="G87" s="70" t="s">
        <v>170</v>
      </c>
      <c r="H87" s="70" t="s">
        <v>171</v>
      </c>
      <c r="I87" s="70" t="s">
        <v>172</v>
      </c>
      <c r="J87" s="70" t="s">
        <v>173</v>
      </c>
      <c r="K87" s="70" t="s">
        <v>174</v>
      </c>
      <c r="L87" s="70" t="s">
        <v>175</v>
      </c>
      <c r="M87" s="70" t="s">
        <v>176</v>
      </c>
      <c r="N87" s="70" t="s">
        <v>177</v>
      </c>
      <c r="O87" s="70" t="s">
        <v>178</v>
      </c>
      <c r="P87" s="71" t="s">
        <v>153</v>
      </c>
    </row>
    <row r="88" spans="2:16" x14ac:dyDescent="0.3">
      <c r="B88" s="65">
        <v>1</v>
      </c>
      <c r="C88" s="42" t="s">
        <v>220</v>
      </c>
      <c r="D88" s="121">
        <v>55000</v>
      </c>
      <c r="E88" s="121">
        <v>55000</v>
      </c>
      <c r="F88" s="121">
        <v>55000</v>
      </c>
      <c r="G88" s="121"/>
      <c r="H88" s="121"/>
      <c r="I88" s="121"/>
      <c r="J88" s="121"/>
      <c r="K88" s="121"/>
      <c r="L88" s="121"/>
      <c r="M88" s="121"/>
      <c r="N88" s="121"/>
      <c r="O88" s="121"/>
      <c r="P88" s="122">
        <f t="shared" ref="P88:P93" si="9">SUM(D88:O88)</f>
        <v>165000</v>
      </c>
    </row>
    <row r="89" spans="2:16" x14ac:dyDescent="0.3">
      <c r="B89" s="65">
        <v>2</v>
      </c>
      <c r="C89" s="42" t="s">
        <v>49</v>
      </c>
      <c r="D89" s="121">
        <v>16000</v>
      </c>
      <c r="E89" s="121">
        <v>16000</v>
      </c>
      <c r="F89" s="121">
        <v>16000</v>
      </c>
      <c r="G89" s="121"/>
      <c r="H89" s="121"/>
      <c r="I89" s="121"/>
      <c r="J89" s="121"/>
      <c r="K89" s="121"/>
      <c r="L89" s="121"/>
      <c r="M89" s="121"/>
      <c r="N89" s="121"/>
      <c r="O89" s="121"/>
      <c r="P89" s="122">
        <f t="shared" si="9"/>
        <v>48000</v>
      </c>
    </row>
    <row r="90" spans="2:16" x14ac:dyDescent="0.3">
      <c r="B90" s="65">
        <v>3</v>
      </c>
      <c r="C90" s="42" t="s">
        <v>52</v>
      </c>
      <c r="D90" s="121">
        <v>3500</v>
      </c>
      <c r="E90" s="121">
        <v>3500</v>
      </c>
      <c r="F90" s="121">
        <v>3500</v>
      </c>
      <c r="G90" s="121"/>
      <c r="H90" s="121"/>
      <c r="I90" s="121"/>
      <c r="J90" s="121"/>
      <c r="K90" s="121"/>
      <c r="L90" s="121"/>
      <c r="M90" s="121"/>
      <c r="N90" s="121"/>
      <c r="O90" s="121"/>
      <c r="P90" s="122">
        <f t="shared" si="9"/>
        <v>10500</v>
      </c>
    </row>
    <row r="91" spans="2:16" x14ac:dyDescent="0.3">
      <c r="B91" s="65">
        <v>4</v>
      </c>
      <c r="C91" s="42" t="s">
        <v>53</v>
      </c>
      <c r="D91" s="121">
        <v>2700</v>
      </c>
      <c r="E91" s="121">
        <v>2700</v>
      </c>
      <c r="F91" s="121">
        <v>2700</v>
      </c>
      <c r="G91" s="121"/>
      <c r="H91" s="121"/>
      <c r="I91" s="121"/>
      <c r="J91" s="121"/>
      <c r="K91" s="121"/>
      <c r="L91" s="121"/>
      <c r="M91" s="121"/>
      <c r="N91" s="121"/>
      <c r="O91" s="121"/>
      <c r="P91" s="122">
        <f t="shared" si="9"/>
        <v>8100</v>
      </c>
    </row>
    <row r="92" spans="2:16" x14ac:dyDescent="0.3">
      <c r="B92" s="65">
        <v>5</v>
      </c>
      <c r="C92" s="42" t="s">
        <v>51</v>
      </c>
      <c r="D92" s="121">
        <v>10450</v>
      </c>
      <c r="E92" s="121">
        <v>10450</v>
      </c>
      <c r="F92" s="121">
        <v>10450</v>
      </c>
      <c r="G92" s="121"/>
      <c r="H92" s="121"/>
      <c r="I92" s="121"/>
      <c r="J92" s="121"/>
      <c r="K92" s="121"/>
      <c r="L92" s="121"/>
      <c r="M92" s="121"/>
      <c r="N92" s="121"/>
      <c r="O92" s="121"/>
      <c r="P92" s="122">
        <f t="shared" si="9"/>
        <v>31350</v>
      </c>
    </row>
    <row r="93" spans="2:16" x14ac:dyDescent="0.3">
      <c r="B93" s="67"/>
      <c r="C93" s="68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4">
        <f t="shared" si="9"/>
        <v>0</v>
      </c>
    </row>
    <row r="94" spans="2:16" ht="15" thickBot="1" x14ac:dyDescent="0.35">
      <c r="B94" s="114"/>
      <c r="C94" s="72" t="s">
        <v>208</v>
      </c>
      <c r="D94" s="125">
        <f>SUM(D88:D93)</f>
        <v>87650</v>
      </c>
      <c r="E94" s="125">
        <f t="shared" ref="E94:P94" si="10">SUM(E88:E93)</f>
        <v>87650</v>
      </c>
      <c r="F94" s="125">
        <f t="shared" si="10"/>
        <v>87650</v>
      </c>
      <c r="G94" s="125">
        <f t="shared" si="10"/>
        <v>0</v>
      </c>
      <c r="H94" s="125">
        <f t="shared" si="10"/>
        <v>0</v>
      </c>
      <c r="I94" s="125">
        <f t="shared" si="10"/>
        <v>0</v>
      </c>
      <c r="J94" s="125">
        <f t="shared" si="10"/>
        <v>0</v>
      </c>
      <c r="K94" s="125">
        <f t="shared" si="10"/>
        <v>0</v>
      </c>
      <c r="L94" s="125">
        <f t="shared" si="10"/>
        <v>0</v>
      </c>
      <c r="M94" s="125">
        <f t="shared" si="10"/>
        <v>0</v>
      </c>
      <c r="N94" s="125">
        <f t="shared" si="10"/>
        <v>0</v>
      </c>
      <c r="O94" s="125">
        <f t="shared" si="10"/>
        <v>0</v>
      </c>
      <c r="P94" s="126">
        <f t="shared" si="10"/>
        <v>262950</v>
      </c>
    </row>
    <row r="95" spans="2:16" ht="15" thickBot="1" x14ac:dyDescent="0.35">
      <c r="B95" s="114"/>
      <c r="C95" s="72" t="s">
        <v>207</v>
      </c>
      <c r="D95" s="131">
        <f>D94/5.04</f>
        <v>17390.873015873014</v>
      </c>
      <c r="E95" s="131">
        <f>E94/4.95</f>
        <v>17707.070707070707</v>
      </c>
      <c r="F95" s="131">
        <f>F94/4.85</f>
        <v>18072.16494845361</v>
      </c>
      <c r="G95" s="131">
        <f t="shared" ref="G95:O95" si="11">G94</f>
        <v>0</v>
      </c>
      <c r="H95" s="131">
        <f t="shared" si="11"/>
        <v>0</v>
      </c>
      <c r="I95" s="131">
        <f t="shared" si="11"/>
        <v>0</v>
      </c>
      <c r="J95" s="131">
        <f t="shared" si="11"/>
        <v>0</v>
      </c>
      <c r="K95" s="131">
        <f t="shared" si="11"/>
        <v>0</v>
      </c>
      <c r="L95" s="131">
        <f t="shared" si="11"/>
        <v>0</v>
      </c>
      <c r="M95" s="131">
        <f t="shared" si="11"/>
        <v>0</v>
      </c>
      <c r="N95" s="131">
        <f t="shared" si="11"/>
        <v>0</v>
      </c>
      <c r="O95" s="131">
        <f t="shared" si="11"/>
        <v>0</v>
      </c>
      <c r="P95" s="132">
        <f>SUM(D95:O95)</f>
        <v>53170.108671397327</v>
      </c>
    </row>
    <row r="98" spans="2:16" ht="15" thickBot="1" x14ac:dyDescent="0.35">
      <c r="B98" s="24" t="s">
        <v>256</v>
      </c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</row>
    <row r="99" spans="2:16" ht="19.2" customHeight="1" x14ac:dyDescent="0.3">
      <c r="B99" s="113"/>
      <c r="C99" s="69"/>
      <c r="D99" s="70" t="s">
        <v>167</v>
      </c>
      <c r="E99" s="70" t="s">
        <v>168</v>
      </c>
      <c r="F99" s="70" t="s">
        <v>169</v>
      </c>
      <c r="G99" s="70" t="s">
        <v>170</v>
      </c>
      <c r="H99" s="70" t="s">
        <v>171</v>
      </c>
      <c r="I99" s="70" t="s">
        <v>172</v>
      </c>
      <c r="J99" s="70" t="s">
        <v>173</v>
      </c>
      <c r="K99" s="70" t="s">
        <v>174</v>
      </c>
      <c r="L99" s="70" t="s">
        <v>175</v>
      </c>
      <c r="M99" s="70" t="s">
        <v>176</v>
      </c>
      <c r="N99" s="70" t="s">
        <v>177</v>
      </c>
      <c r="O99" s="70" t="s">
        <v>178</v>
      </c>
      <c r="P99" s="71" t="s">
        <v>153</v>
      </c>
    </row>
    <row r="100" spans="2:16" x14ac:dyDescent="0.3">
      <c r="B100" s="65">
        <v>1</v>
      </c>
      <c r="C100" s="42" t="s">
        <v>221</v>
      </c>
      <c r="D100" s="127">
        <v>10644.25</v>
      </c>
      <c r="E100" s="127">
        <v>4402</v>
      </c>
      <c r="F100" s="127">
        <v>12584</v>
      </c>
      <c r="G100" s="127"/>
      <c r="H100" s="127"/>
      <c r="I100" s="127"/>
      <c r="J100" s="127"/>
      <c r="K100" s="127"/>
      <c r="L100" s="127"/>
      <c r="M100" s="127"/>
      <c r="N100" s="127"/>
      <c r="O100" s="127"/>
      <c r="P100" s="128">
        <f t="shared" ref="P100:P121" si="12">SUM(D100:O100)</f>
        <v>27630.25</v>
      </c>
    </row>
    <row r="101" spans="2:16" x14ac:dyDescent="0.3">
      <c r="B101" s="65">
        <v>2</v>
      </c>
      <c r="C101" s="42" t="s">
        <v>222</v>
      </c>
      <c r="D101" s="127">
        <v>10498.29</v>
      </c>
      <c r="E101" s="127">
        <v>12189</v>
      </c>
      <c r="F101" s="127">
        <v>9203</v>
      </c>
      <c r="G101" s="127"/>
      <c r="H101" s="127"/>
      <c r="I101" s="127"/>
      <c r="J101" s="127"/>
      <c r="K101" s="127"/>
      <c r="L101" s="127"/>
      <c r="M101" s="127"/>
      <c r="N101" s="127"/>
      <c r="O101" s="127"/>
      <c r="P101" s="128">
        <f t="shared" si="12"/>
        <v>31890.29</v>
      </c>
    </row>
    <row r="102" spans="2:16" x14ac:dyDescent="0.3">
      <c r="B102" s="65">
        <v>3</v>
      </c>
      <c r="C102" s="42" t="s">
        <v>257</v>
      </c>
      <c r="D102" s="127">
        <v>9897</v>
      </c>
      <c r="E102" s="127">
        <v>6061</v>
      </c>
      <c r="F102" s="127">
        <v>6258</v>
      </c>
      <c r="G102" s="127"/>
      <c r="H102" s="127"/>
      <c r="I102" s="127"/>
      <c r="J102" s="127"/>
      <c r="K102" s="127"/>
      <c r="L102" s="127"/>
      <c r="M102" s="127"/>
      <c r="N102" s="127"/>
      <c r="O102" s="127"/>
      <c r="P102" s="128">
        <f t="shared" si="12"/>
        <v>22216</v>
      </c>
    </row>
    <row r="103" spans="2:16" x14ac:dyDescent="0.3">
      <c r="B103" s="65">
        <v>4</v>
      </c>
      <c r="C103" s="42" t="s">
        <v>223</v>
      </c>
      <c r="D103" s="127">
        <v>208.14</v>
      </c>
      <c r="E103" s="127">
        <v>162</v>
      </c>
      <c r="F103" s="127">
        <v>0</v>
      </c>
      <c r="G103" s="127"/>
      <c r="H103" s="127"/>
      <c r="I103" s="127"/>
      <c r="J103" s="127"/>
      <c r="K103" s="127"/>
      <c r="L103" s="127"/>
      <c r="M103" s="127"/>
      <c r="N103" s="127"/>
      <c r="O103" s="127"/>
      <c r="P103" s="128">
        <f t="shared" si="12"/>
        <v>370.14</v>
      </c>
    </row>
    <row r="104" spans="2:16" x14ac:dyDescent="0.3">
      <c r="B104" s="65">
        <v>5</v>
      </c>
      <c r="C104" s="42" t="s">
        <v>224</v>
      </c>
      <c r="D104" s="127">
        <v>78.13</v>
      </c>
      <c r="E104" s="127">
        <v>329</v>
      </c>
      <c r="F104" s="127">
        <v>310</v>
      </c>
      <c r="G104" s="127"/>
      <c r="H104" s="127"/>
      <c r="I104" s="127"/>
      <c r="J104" s="127"/>
      <c r="K104" s="127"/>
      <c r="L104" s="127"/>
      <c r="M104" s="127"/>
      <c r="N104" s="127"/>
      <c r="O104" s="127"/>
      <c r="P104" s="128">
        <f t="shared" si="12"/>
        <v>717.13</v>
      </c>
    </row>
    <row r="105" spans="2:16" x14ac:dyDescent="0.3">
      <c r="B105" s="65">
        <v>6</v>
      </c>
      <c r="C105" s="42" t="s">
        <v>225</v>
      </c>
      <c r="D105" s="127">
        <v>7840</v>
      </c>
      <c r="E105" s="127">
        <v>12000</v>
      </c>
      <c r="F105" s="127">
        <v>9300</v>
      </c>
      <c r="G105" s="127"/>
      <c r="H105" s="127"/>
      <c r="I105" s="127"/>
      <c r="J105" s="127"/>
      <c r="K105" s="127"/>
      <c r="L105" s="127"/>
      <c r="M105" s="127"/>
      <c r="N105" s="127"/>
      <c r="O105" s="127"/>
      <c r="P105" s="128">
        <f t="shared" si="12"/>
        <v>29140</v>
      </c>
    </row>
    <row r="106" spans="2:16" x14ac:dyDescent="0.3">
      <c r="B106" s="65">
        <v>7</v>
      </c>
      <c r="C106" s="42" t="s">
        <v>226</v>
      </c>
      <c r="D106" s="127">
        <v>4604.3999999999996</v>
      </c>
      <c r="E106" s="127">
        <v>4503</v>
      </c>
      <c r="F106" s="127">
        <v>7821</v>
      </c>
      <c r="G106" s="127"/>
      <c r="H106" s="127"/>
      <c r="I106" s="127"/>
      <c r="J106" s="127"/>
      <c r="K106" s="127"/>
      <c r="L106" s="127"/>
      <c r="M106" s="127"/>
      <c r="N106" s="127"/>
      <c r="O106" s="127"/>
      <c r="P106" s="128">
        <f t="shared" si="12"/>
        <v>16928.400000000001</v>
      </c>
    </row>
    <row r="107" spans="2:16" x14ac:dyDescent="0.3">
      <c r="B107" s="65">
        <v>8</v>
      </c>
      <c r="C107" s="42" t="s">
        <v>227</v>
      </c>
      <c r="D107" s="127">
        <v>804.22</v>
      </c>
      <c r="E107" s="127">
        <v>904</v>
      </c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8">
        <f t="shared" si="12"/>
        <v>1708.22</v>
      </c>
    </row>
    <row r="108" spans="2:16" x14ac:dyDescent="0.3">
      <c r="B108" s="65">
        <v>9</v>
      </c>
      <c r="C108" s="42" t="s">
        <v>228</v>
      </c>
      <c r="D108" s="127">
        <v>1621.05</v>
      </c>
      <c r="E108" s="127"/>
      <c r="F108" s="127">
        <v>1098</v>
      </c>
      <c r="G108" s="127"/>
      <c r="H108" s="127"/>
      <c r="I108" s="127"/>
      <c r="J108" s="127"/>
      <c r="K108" s="127"/>
      <c r="L108" s="127"/>
      <c r="M108" s="127"/>
      <c r="N108" s="127"/>
      <c r="O108" s="127"/>
      <c r="P108" s="128">
        <f t="shared" si="12"/>
        <v>2719.05</v>
      </c>
    </row>
    <row r="109" spans="2:16" x14ac:dyDescent="0.3">
      <c r="B109" s="65">
        <v>10</v>
      </c>
      <c r="C109" s="42" t="s">
        <v>229</v>
      </c>
      <c r="D109" s="127">
        <v>2391.79</v>
      </c>
      <c r="E109" s="127">
        <v>2358</v>
      </c>
      <c r="F109" s="127">
        <v>2745</v>
      </c>
      <c r="G109" s="127"/>
      <c r="H109" s="127"/>
      <c r="I109" s="127"/>
      <c r="J109" s="127"/>
      <c r="K109" s="127"/>
      <c r="L109" s="127"/>
      <c r="M109" s="127"/>
      <c r="N109" s="127"/>
      <c r="O109" s="127"/>
      <c r="P109" s="128">
        <f t="shared" si="12"/>
        <v>7494.79</v>
      </c>
    </row>
    <row r="110" spans="2:16" x14ac:dyDescent="0.3">
      <c r="B110" s="65">
        <v>11</v>
      </c>
      <c r="C110" s="42" t="s">
        <v>80</v>
      </c>
      <c r="D110" s="127">
        <v>13920</v>
      </c>
      <c r="E110" s="127">
        <v>9400.5400000000009</v>
      </c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8">
        <f t="shared" si="12"/>
        <v>23320.54</v>
      </c>
    </row>
    <row r="111" spans="2:16" x14ac:dyDescent="0.3">
      <c r="B111" s="65">
        <v>12</v>
      </c>
      <c r="C111" s="42" t="s">
        <v>230</v>
      </c>
      <c r="D111" s="127">
        <v>331.46</v>
      </c>
      <c r="E111" s="127"/>
      <c r="F111" s="127">
        <v>91</v>
      </c>
      <c r="G111" s="127"/>
      <c r="H111" s="127"/>
      <c r="I111" s="127"/>
      <c r="J111" s="127"/>
      <c r="K111" s="127"/>
      <c r="L111" s="127"/>
      <c r="M111" s="127"/>
      <c r="N111" s="127"/>
      <c r="O111" s="127"/>
      <c r="P111" s="128">
        <f t="shared" si="12"/>
        <v>422.46</v>
      </c>
    </row>
    <row r="112" spans="2:16" x14ac:dyDescent="0.3">
      <c r="B112" s="65">
        <v>13</v>
      </c>
      <c r="C112" s="42" t="s">
        <v>231</v>
      </c>
      <c r="D112" s="127">
        <v>95.95</v>
      </c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8">
        <f t="shared" si="12"/>
        <v>95.95</v>
      </c>
    </row>
    <row r="113" spans="2:16" x14ac:dyDescent="0.3">
      <c r="B113" s="65">
        <v>14</v>
      </c>
      <c r="C113" s="42" t="s">
        <v>232</v>
      </c>
      <c r="D113" s="127">
        <v>187.86</v>
      </c>
      <c r="E113" s="127">
        <v>833</v>
      </c>
      <c r="F113" s="127">
        <v>1889</v>
      </c>
      <c r="G113" s="127"/>
      <c r="H113" s="127"/>
      <c r="I113" s="127"/>
      <c r="J113" s="127"/>
      <c r="K113" s="127"/>
      <c r="L113" s="127"/>
      <c r="M113" s="127"/>
      <c r="N113" s="127"/>
      <c r="O113" s="127"/>
      <c r="P113" s="128">
        <f t="shared" si="12"/>
        <v>2909.86</v>
      </c>
    </row>
    <row r="114" spans="2:16" x14ac:dyDescent="0.3">
      <c r="B114" s="65">
        <v>15</v>
      </c>
      <c r="C114" s="42" t="s">
        <v>277</v>
      </c>
      <c r="D114" s="127">
        <v>1485.57</v>
      </c>
      <c r="E114" s="127">
        <v>9408</v>
      </c>
      <c r="F114" s="127">
        <v>9198</v>
      </c>
      <c r="G114" s="127"/>
      <c r="H114" s="127"/>
      <c r="I114" s="127"/>
      <c r="J114" s="127"/>
      <c r="K114" s="127"/>
      <c r="L114" s="127"/>
      <c r="M114" s="127"/>
      <c r="N114" s="127"/>
      <c r="O114" s="127"/>
      <c r="P114" s="128">
        <f t="shared" si="12"/>
        <v>20091.57</v>
      </c>
    </row>
    <row r="115" spans="2:16" x14ac:dyDescent="0.3">
      <c r="B115" s="65">
        <v>16</v>
      </c>
      <c r="C115" s="42" t="s">
        <v>267</v>
      </c>
      <c r="D115" s="127">
        <f>3520/1.15</f>
        <v>3060.8695652173915</v>
      </c>
      <c r="E115" s="127">
        <f>3300/1.141</f>
        <v>2892.1998247151623</v>
      </c>
      <c r="F115" s="127">
        <f>2400/1.151</f>
        <v>2085.1433536055602</v>
      </c>
      <c r="G115" s="127"/>
      <c r="H115" s="127"/>
      <c r="I115" s="127"/>
      <c r="J115" s="127"/>
      <c r="K115" s="127"/>
      <c r="L115" s="127"/>
      <c r="M115" s="127"/>
      <c r="N115" s="127"/>
      <c r="O115" s="127"/>
      <c r="P115" s="128">
        <f t="shared" si="12"/>
        <v>8038.2127435381144</v>
      </c>
    </row>
    <row r="116" spans="2:16" x14ac:dyDescent="0.3">
      <c r="B116" s="65">
        <v>17</v>
      </c>
      <c r="C116" s="42" t="s">
        <v>302</v>
      </c>
      <c r="D116" s="127"/>
      <c r="E116" s="127">
        <v>458</v>
      </c>
      <c r="F116" s="127">
        <v>284</v>
      </c>
      <c r="G116" s="127"/>
      <c r="H116" s="127"/>
      <c r="I116" s="127"/>
      <c r="J116" s="127"/>
      <c r="K116" s="127"/>
      <c r="L116" s="127"/>
      <c r="M116" s="127"/>
      <c r="N116" s="127"/>
      <c r="O116" s="127"/>
      <c r="P116" s="128">
        <f t="shared" si="12"/>
        <v>742</v>
      </c>
    </row>
    <row r="117" spans="2:16" x14ac:dyDescent="0.3">
      <c r="B117" s="65">
        <v>18</v>
      </c>
      <c r="C117" s="42" t="s">
        <v>303</v>
      </c>
      <c r="D117" s="127"/>
      <c r="E117" s="127">
        <v>1286</v>
      </c>
      <c r="F117" s="127">
        <v>7900</v>
      </c>
      <c r="G117" s="127"/>
      <c r="H117" s="127"/>
      <c r="I117" s="127"/>
      <c r="J117" s="127"/>
      <c r="K117" s="127"/>
      <c r="L117" s="127"/>
      <c r="M117" s="127"/>
      <c r="N117" s="127"/>
      <c r="O117" s="127"/>
      <c r="P117" s="128">
        <f t="shared" si="12"/>
        <v>9186</v>
      </c>
    </row>
    <row r="118" spans="2:16" x14ac:dyDescent="0.3">
      <c r="B118" s="65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8">
        <f t="shared" si="12"/>
        <v>0</v>
      </c>
    </row>
    <row r="119" spans="2:16" x14ac:dyDescent="0.3">
      <c r="B119" s="65"/>
      <c r="C119" s="159" t="s">
        <v>306</v>
      </c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8">
        <f t="shared" si="12"/>
        <v>0</v>
      </c>
    </row>
    <row r="120" spans="2:16" x14ac:dyDescent="0.3">
      <c r="B120" s="65">
        <v>1</v>
      </c>
      <c r="C120" s="42" t="s">
        <v>307</v>
      </c>
      <c r="D120" s="127"/>
      <c r="E120" s="127"/>
      <c r="F120" s="127">
        <f>829.29/1.151</f>
        <v>720.49522154648128</v>
      </c>
      <c r="G120" s="127"/>
      <c r="H120" s="127"/>
      <c r="I120" s="127"/>
      <c r="J120" s="127"/>
      <c r="K120" s="127"/>
      <c r="L120" s="127"/>
      <c r="M120" s="127"/>
      <c r="N120" s="127"/>
      <c r="O120" s="127"/>
      <c r="P120" s="128">
        <f t="shared" si="12"/>
        <v>720.49522154648128</v>
      </c>
    </row>
    <row r="121" spans="2:16" x14ac:dyDescent="0.3">
      <c r="B121" s="67"/>
      <c r="C121" s="68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30">
        <f t="shared" si="12"/>
        <v>0</v>
      </c>
    </row>
    <row r="122" spans="2:16" ht="15" thickBot="1" x14ac:dyDescent="0.35">
      <c r="B122" s="114"/>
      <c r="C122" s="72" t="s">
        <v>207</v>
      </c>
      <c r="D122" s="131">
        <f>SUM(D100:D121)</f>
        <v>67668.979565217393</v>
      </c>
      <c r="E122" s="131">
        <f>SUM(E100:E121)</f>
        <v>67185.739824715158</v>
      </c>
      <c r="F122" s="131">
        <f>SUM(F100:F121)</f>
        <v>71486.638575152043</v>
      </c>
      <c r="G122" s="131">
        <f>SUM(G100:G121)</f>
        <v>0</v>
      </c>
      <c r="H122" s="131">
        <f>SUM(H100:H121)</f>
        <v>0</v>
      </c>
      <c r="I122" s="131">
        <f>SUM(I100:I121)</f>
        <v>0</v>
      </c>
      <c r="J122" s="131">
        <f>SUM(J100:J121)</f>
        <v>0</v>
      </c>
      <c r="K122" s="131">
        <f>SUM(K100:K121)</f>
        <v>0</v>
      </c>
      <c r="L122" s="131">
        <f>SUM(L100:L121)</f>
        <v>0</v>
      </c>
      <c r="M122" s="131">
        <f>SUM(M100:M121)</f>
        <v>0</v>
      </c>
      <c r="N122" s="131">
        <f>SUM(N100:N121)</f>
        <v>0</v>
      </c>
      <c r="O122" s="131">
        <f>SUM(O100:O121)</f>
        <v>0</v>
      </c>
      <c r="P122" s="132">
        <f>SUM(P100:P121)</f>
        <v>206341.35796508461</v>
      </c>
    </row>
    <row r="125" spans="2:16" ht="15" thickBot="1" x14ac:dyDescent="0.35">
      <c r="B125" s="24" t="s">
        <v>233</v>
      </c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</row>
    <row r="126" spans="2:16" ht="19.2" customHeight="1" x14ac:dyDescent="0.3">
      <c r="B126" s="113"/>
      <c r="C126" s="69"/>
      <c r="D126" s="70" t="s">
        <v>167</v>
      </c>
      <c r="E126" s="70" t="s">
        <v>168</v>
      </c>
      <c r="F126" s="70" t="s">
        <v>169</v>
      </c>
      <c r="G126" s="70" t="s">
        <v>170</v>
      </c>
      <c r="H126" s="70" t="s">
        <v>171</v>
      </c>
      <c r="I126" s="70" t="s">
        <v>172</v>
      </c>
      <c r="J126" s="70" t="s">
        <v>173</v>
      </c>
      <c r="K126" s="70" t="s">
        <v>174</v>
      </c>
      <c r="L126" s="70" t="s">
        <v>175</v>
      </c>
      <c r="M126" s="70" t="s">
        <v>176</v>
      </c>
      <c r="N126" s="70" t="s">
        <v>177</v>
      </c>
      <c r="O126" s="70" t="s">
        <v>178</v>
      </c>
      <c r="P126" s="71" t="s">
        <v>153</v>
      </c>
    </row>
    <row r="127" spans="2:16" x14ac:dyDescent="0.3">
      <c r="B127" s="65">
        <v>1</v>
      </c>
      <c r="C127" s="42" t="s">
        <v>80</v>
      </c>
      <c r="D127" s="115">
        <v>105932.13</v>
      </c>
      <c r="E127" s="115">
        <v>19048</v>
      </c>
      <c r="F127" s="115">
        <v>94809</v>
      </c>
      <c r="G127" s="115"/>
      <c r="H127" s="115"/>
      <c r="I127" s="115"/>
      <c r="J127" s="115"/>
      <c r="K127" s="115"/>
      <c r="L127" s="115"/>
      <c r="M127" s="115"/>
      <c r="N127" s="115"/>
      <c r="O127" s="115"/>
      <c r="P127" s="116">
        <f t="shared" ref="P127:P132" si="13">SUM(D127:O127)</f>
        <v>219789.13</v>
      </c>
    </row>
    <row r="128" spans="2:16" x14ac:dyDescent="0.3">
      <c r="B128" s="65">
        <v>2</v>
      </c>
      <c r="C128" s="42" t="s">
        <v>234</v>
      </c>
      <c r="D128" s="115">
        <v>1930.71</v>
      </c>
      <c r="E128" s="115">
        <v>433</v>
      </c>
      <c r="F128" s="115">
        <v>963</v>
      </c>
      <c r="G128" s="115"/>
      <c r="H128" s="115"/>
      <c r="I128" s="115"/>
      <c r="J128" s="115"/>
      <c r="K128" s="115"/>
      <c r="L128" s="115"/>
      <c r="M128" s="115"/>
      <c r="N128" s="115"/>
      <c r="O128" s="115"/>
      <c r="P128" s="116">
        <f t="shared" si="13"/>
        <v>3326.71</v>
      </c>
    </row>
    <row r="129" spans="2:16" x14ac:dyDescent="0.3">
      <c r="B129" s="65">
        <v>3</v>
      </c>
      <c r="C129" s="42" t="s">
        <v>230</v>
      </c>
      <c r="D129" s="115">
        <v>633.34</v>
      </c>
      <c r="E129" s="115">
        <v>21</v>
      </c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6">
        <f t="shared" si="13"/>
        <v>654.34</v>
      </c>
    </row>
    <row r="130" spans="2:16" x14ac:dyDescent="0.3">
      <c r="B130" s="65">
        <v>4</v>
      </c>
      <c r="C130" s="42" t="s">
        <v>235</v>
      </c>
      <c r="D130" s="115">
        <v>131.65</v>
      </c>
      <c r="E130" s="115">
        <v>314</v>
      </c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6">
        <f t="shared" si="13"/>
        <v>445.65</v>
      </c>
    </row>
    <row r="131" spans="2:16" x14ac:dyDescent="0.3">
      <c r="B131" s="65">
        <v>5</v>
      </c>
      <c r="C131" s="42" t="s">
        <v>313</v>
      </c>
      <c r="D131" s="115"/>
      <c r="E131" s="115"/>
      <c r="F131" s="115">
        <v>2616</v>
      </c>
      <c r="G131" s="115"/>
      <c r="H131" s="115"/>
      <c r="I131" s="115"/>
      <c r="J131" s="115"/>
      <c r="K131" s="115"/>
      <c r="L131" s="115"/>
      <c r="M131" s="115"/>
      <c r="N131" s="115"/>
      <c r="O131" s="115"/>
      <c r="P131" s="116"/>
    </row>
    <row r="132" spans="2:16" x14ac:dyDescent="0.3">
      <c r="B132" s="133"/>
      <c r="C132" s="68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5">
        <f t="shared" si="13"/>
        <v>0</v>
      </c>
    </row>
    <row r="133" spans="2:16" ht="15" thickBot="1" x14ac:dyDescent="0.35">
      <c r="B133" s="114"/>
      <c r="C133" s="72" t="s">
        <v>215</v>
      </c>
      <c r="D133" s="119">
        <f>SUM(D127:D132)</f>
        <v>108627.83</v>
      </c>
      <c r="E133" s="119">
        <f t="shared" ref="E133:P133" si="14">SUM(E127:E132)</f>
        <v>19816</v>
      </c>
      <c r="F133" s="119">
        <f t="shared" si="14"/>
        <v>98388</v>
      </c>
      <c r="G133" s="119">
        <f t="shared" si="14"/>
        <v>0</v>
      </c>
      <c r="H133" s="119">
        <f t="shared" si="14"/>
        <v>0</v>
      </c>
      <c r="I133" s="119">
        <f t="shared" si="14"/>
        <v>0</v>
      </c>
      <c r="J133" s="119">
        <f t="shared" si="14"/>
        <v>0</v>
      </c>
      <c r="K133" s="119">
        <f t="shared" si="14"/>
        <v>0</v>
      </c>
      <c r="L133" s="119">
        <f t="shared" si="14"/>
        <v>0</v>
      </c>
      <c r="M133" s="119">
        <f t="shared" si="14"/>
        <v>0</v>
      </c>
      <c r="N133" s="119">
        <f t="shared" si="14"/>
        <v>0</v>
      </c>
      <c r="O133" s="119">
        <f t="shared" si="14"/>
        <v>0</v>
      </c>
      <c r="P133" s="120">
        <f t="shared" si="14"/>
        <v>224215.83</v>
      </c>
    </row>
    <row r="136" spans="2:16" ht="15" thickBot="1" x14ac:dyDescent="0.35">
      <c r="B136" s="24" t="s">
        <v>237</v>
      </c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</row>
    <row r="137" spans="2:16" ht="19.2" customHeight="1" x14ac:dyDescent="0.3">
      <c r="B137" s="113"/>
      <c r="C137" s="69"/>
      <c r="D137" s="70" t="s">
        <v>167</v>
      </c>
      <c r="E137" s="70" t="s">
        <v>168</v>
      </c>
      <c r="F137" s="70" t="s">
        <v>169</v>
      </c>
      <c r="G137" s="70" t="s">
        <v>170</v>
      </c>
      <c r="H137" s="70" t="s">
        <v>171</v>
      </c>
      <c r="I137" s="70" t="s">
        <v>172</v>
      </c>
      <c r="J137" s="70" t="s">
        <v>173</v>
      </c>
      <c r="K137" s="70" t="s">
        <v>174</v>
      </c>
      <c r="L137" s="70" t="s">
        <v>175</v>
      </c>
      <c r="M137" s="70" t="s">
        <v>176</v>
      </c>
      <c r="N137" s="70" t="s">
        <v>177</v>
      </c>
      <c r="O137" s="70" t="s">
        <v>178</v>
      </c>
      <c r="P137" s="71" t="s">
        <v>153</v>
      </c>
    </row>
    <row r="138" spans="2:16" x14ac:dyDescent="0.3">
      <c r="B138" s="65">
        <v>1</v>
      </c>
      <c r="C138" s="42" t="s">
        <v>127</v>
      </c>
      <c r="D138" s="179">
        <v>82098.789999999994</v>
      </c>
      <c r="E138" s="179">
        <v>255000</v>
      </c>
      <c r="F138" s="179">
        <v>650000</v>
      </c>
      <c r="G138" s="115"/>
      <c r="H138" s="115"/>
      <c r="I138" s="115"/>
      <c r="J138" s="115"/>
      <c r="K138" s="115"/>
      <c r="L138" s="115"/>
      <c r="M138" s="115"/>
      <c r="N138" s="115"/>
      <c r="O138" s="115"/>
      <c r="P138" s="116">
        <f t="shared" ref="P138:P142" si="15">SUM(D138:O138)</f>
        <v>987098.79</v>
      </c>
    </row>
    <row r="139" spans="2:16" x14ac:dyDescent="0.3">
      <c r="B139" s="65">
        <v>2</v>
      </c>
      <c r="C139" s="42" t="s">
        <v>128</v>
      </c>
      <c r="D139" s="115">
        <v>17976.05</v>
      </c>
      <c r="E139" s="115">
        <v>15391.24</v>
      </c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6">
        <f t="shared" si="15"/>
        <v>33367.29</v>
      </c>
    </row>
    <row r="140" spans="2:16" x14ac:dyDescent="0.3">
      <c r="B140" s="65">
        <v>3</v>
      </c>
      <c r="C140" s="42" t="s">
        <v>238</v>
      </c>
      <c r="D140" s="115">
        <v>3082</v>
      </c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6">
        <f t="shared" si="15"/>
        <v>3082</v>
      </c>
    </row>
    <row r="141" spans="2:16" x14ac:dyDescent="0.3">
      <c r="B141" s="65">
        <v>4</v>
      </c>
      <c r="C141" s="42" t="s">
        <v>314</v>
      </c>
      <c r="D141" s="115"/>
      <c r="E141" s="115"/>
      <c r="F141" s="115">
        <v>14950</v>
      </c>
      <c r="G141" s="115"/>
      <c r="H141" s="115"/>
      <c r="I141" s="115"/>
      <c r="J141" s="115"/>
      <c r="K141" s="115"/>
      <c r="L141" s="115"/>
      <c r="M141" s="115"/>
      <c r="N141" s="115"/>
      <c r="O141" s="115"/>
      <c r="P141" s="116"/>
    </row>
    <row r="142" spans="2:16" x14ac:dyDescent="0.3">
      <c r="B142" s="133"/>
      <c r="C142" s="68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5">
        <f t="shared" si="15"/>
        <v>0</v>
      </c>
    </row>
    <row r="143" spans="2:16" ht="15" thickBot="1" x14ac:dyDescent="0.35">
      <c r="B143" s="114"/>
      <c r="C143" s="72" t="s">
        <v>215</v>
      </c>
      <c r="D143" s="119">
        <f>SUM(D138:D142)</f>
        <v>103156.84</v>
      </c>
      <c r="E143" s="119">
        <f t="shared" ref="E143:P143" si="16">SUM(E138:E142)</f>
        <v>270391.24</v>
      </c>
      <c r="F143" s="119">
        <f t="shared" si="16"/>
        <v>664950</v>
      </c>
      <c r="G143" s="119">
        <f t="shared" si="16"/>
        <v>0</v>
      </c>
      <c r="H143" s="119">
        <f t="shared" si="16"/>
        <v>0</v>
      </c>
      <c r="I143" s="119">
        <f t="shared" si="16"/>
        <v>0</v>
      </c>
      <c r="J143" s="119">
        <f t="shared" si="16"/>
        <v>0</v>
      </c>
      <c r="K143" s="119">
        <f t="shared" si="16"/>
        <v>0</v>
      </c>
      <c r="L143" s="119">
        <f t="shared" si="16"/>
        <v>0</v>
      </c>
      <c r="M143" s="119">
        <f t="shared" si="16"/>
        <v>0</v>
      </c>
      <c r="N143" s="119">
        <f t="shared" si="16"/>
        <v>0</v>
      </c>
      <c r="O143" s="119">
        <f t="shared" si="16"/>
        <v>0</v>
      </c>
      <c r="P143" s="120">
        <f t="shared" si="16"/>
        <v>1023548.0800000001</v>
      </c>
    </row>
    <row r="146" spans="2:16" ht="15" thickBot="1" x14ac:dyDescent="0.35">
      <c r="B146" s="24" t="s">
        <v>258</v>
      </c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</row>
    <row r="147" spans="2:16" ht="19.2" customHeight="1" x14ac:dyDescent="0.3">
      <c r="B147" s="113"/>
      <c r="C147" s="69"/>
      <c r="D147" s="70" t="s">
        <v>167</v>
      </c>
      <c r="E147" s="70" t="s">
        <v>168</v>
      </c>
      <c r="F147" s="70" t="s">
        <v>169</v>
      </c>
      <c r="G147" s="70" t="s">
        <v>170</v>
      </c>
      <c r="H147" s="70" t="s">
        <v>171</v>
      </c>
      <c r="I147" s="70" t="s">
        <v>172</v>
      </c>
      <c r="J147" s="70" t="s">
        <v>173</v>
      </c>
      <c r="K147" s="70" t="s">
        <v>174</v>
      </c>
      <c r="L147" s="70" t="s">
        <v>175</v>
      </c>
      <c r="M147" s="70" t="s">
        <v>176</v>
      </c>
      <c r="N147" s="70" t="s">
        <v>177</v>
      </c>
      <c r="O147" s="70" t="s">
        <v>178</v>
      </c>
      <c r="P147" s="71" t="s">
        <v>153</v>
      </c>
    </row>
    <row r="148" spans="2:16" x14ac:dyDescent="0.3">
      <c r="B148" s="65">
        <v>1</v>
      </c>
      <c r="C148" s="42" t="s">
        <v>251</v>
      </c>
      <c r="D148" s="127">
        <f>2000/1.15</f>
        <v>1739.1304347826087</v>
      </c>
      <c r="E148" s="127">
        <f>2000/1.141</f>
        <v>1752.8483786152497</v>
      </c>
      <c r="F148" s="127">
        <f>2000/1.151</f>
        <v>1737.6194613379669</v>
      </c>
      <c r="G148" s="127"/>
      <c r="H148" s="127"/>
      <c r="I148" s="127"/>
      <c r="J148" s="127"/>
      <c r="K148" s="127"/>
      <c r="L148" s="127"/>
      <c r="M148" s="127"/>
      <c r="N148" s="127"/>
      <c r="O148" s="127"/>
      <c r="P148" s="128">
        <f t="shared" ref="P148:P154" si="17">SUM(D148:O148)</f>
        <v>5229.5982747358248</v>
      </c>
    </row>
    <row r="149" spans="2:16" x14ac:dyDescent="0.3">
      <c r="B149" s="65">
        <v>2</v>
      </c>
      <c r="C149" s="42" t="s">
        <v>126</v>
      </c>
      <c r="D149" s="127">
        <v>4000</v>
      </c>
      <c r="E149" s="127">
        <v>4000</v>
      </c>
      <c r="F149" s="127">
        <v>4000</v>
      </c>
      <c r="G149" s="127"/>
      <c r="H149" s="127"/>
      <c r="I149" s="127"/>
      <c r="J149" s="127"/>
      <c r="K149" s="127"/>
      <c r="L149" s="127"/>
      <c r="M149" s="127"/>
      <c r="N149" s="127"/>
      <c r="O149" s="127"/>
      <c r="P149" s="128">
        <f t="shared" si="17"/>
        <v>12000</v>
      </c>
    </row>
    <row r="150" spans="2:16" x14ac:dyDescent="0.3">
      <c r="B150" s="65">
        <v>3</v>
      </c>
      <c r="C150" s="42" t="s">
        <v>252</v>
      </c>
      <c r="D150" s="127">
        <f>1168.25/1.15</f>
        <v>1015.8695652173914</v>
      </c>
      <c r="E150" s="21">
        <v>0</v>
      </c>
      <c r="F150" s="21">
        <v>0</v>
      </c>
      <c r="G150" s="127"/>
      <c r="H150" s="127"/>
      <c r="I150" s="127"/>
      <c r="J150" s="127"/>
      <c r="K150" s="127"/>
      <c r="L150" s="127"/>
      <c r="M150" s="127"/>
      <c r="N150" s="127"/>
      <c r="O150" s="127"/>
      <c r="P150" s="128">
        <f t="shared" si="17"/>
        <v>1015.8695652173914</v>
      </c>
    </row>
    <row r="151" spans="2:16" x14ac:dyDescent="0.3">
      <c r="B151" s="65">
        <v>4</v>
      </c>
      <c r="C151" s="42" t="s">
        <v>291</v>
      </c>
      <c r="D151" s="21">
        <v>0</v>
      </c>
      <c r="E151" s="127">
        <f>1055.96/1.141</f>
        <v>925.46888694127961</v>
      </c>
      <c r="F151" s="21">
        <v>0</v>
      </c>
      <c r="G151" s="127"/>
      <c r="H151" s="127"/>
      <c r="I151" s="127"/>
      <c r="J151" s="127"/>
      <c r="K151" s="127"/>
      <c r="L151" s="127"/>
      <c r="M151" s="127"/>
      <c r="N151" s="127"/>
      <c r="O151" s="127"/>
      <c r="P151" s="128">
        <f t="shared" si="17"/>
        <v>925.46888694127961</v>
      </c>
    </row>
    <row r="152" spans="2:16" x14ac:dyDescent="0.3">
      <c r="B152" s="65">
        <v>5</v>
      </c>
      <c r="C152" s="42" t="s">
        <v>305</v>
      </c>
      <c r="D152" s="21">
        <v>0</v>
      </c>
      <c r="E152" s="21">
        <v>0</v>
      </c>
      <c r="F152" s="127">
        <f>237.88/1.151</f>
        <v>206.67245873153777</v>
      </c>
      <c r="G152" s="127"/>
      <c r="H152" s="127"/>
      <c r="I152" s="127"/>
      <c r="J152" s="127"/>
      <c r="K152" s="127"/>
      <c r="L152" s="127"/>
      <c r="M152" s="127"/>
      <c r="N152" s="127"/>
      <c r="O152" s="127"/>
      <c r="P152" s="128">
        <f t="shared" si="17"/>
        <v>206.67245873153777</v>
      </c>
    </row>
    <row r="153" spans="2:16" x14ac:dyDescent="0.3">
      <c r="B153" s="65">
        <v>6</v>
      </c>
      <c r="C153" s="42" t="s">
        <v>312</v>
      </c>
      <c r="D153" s="21">
        <v>0</v>
      </c>
      <c r="E153" s="21">
        <v>0</v>
      </c>
      <c r="F153" s="127">
        <f>11356.94/4.85</f>
        <v>2341.6371134020619</v>
      </c>
      <c r="G153" s="127"/>
      <c r="H153" s="127"/>
      <c r="I153" s="127"/>
      <c r="J153" s="127"/>
      <c r="K153" s="127"/>
      <c r="L153" s="127"/>
      <c r="M153" s="127"/>
      <c r="N153" s="127"/>
      <c r="O153" s="127"/>
      <c r="P153" s="128">
        <f t="shared" si="17"/>
        <v>2341.6371134020619</v>
      </c>
    </row>
    <row r="154" spans="2:16" x14ac:dyDescent="0.3">
      <c r="B154" s="67"/>
      <c r="C154" s="68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30">
        <f t="shared" si="17"/>
        <v>0</v>
      </c>
    </row>
    <row r="155" spans="2:16" ht="15" thickBot="1" x14ac:dyDescent="0.35">
      <c r="B155" s="114"/>
      <c r="C155" s="72" t="s">
        <v>207</v>
      </c>
      <c r="D155" s="131">
        <f>SUM(D148:D154)</f>
        <v>6755</v>
      </c>
      <c r="E155" s="131">
        <f t="shared" ref="E155:P155" si="18">SUM(E148:E154)</f>
        <v>6678.3172655565295</v>
      </c>
      <c r="F155" s="131">
        <f>SUM(F148:F154)</f>
        <v>8285.9290334715661</v>
      </c>
      <c r="G155" s="131">
        <f t="shared" si="18"/>
        <v>0</v>
      </c>
      <c r="H155" s="131">
        <f t="shared" si="18"/>
        <v>0</v>
      </c>
      <c r="I155" s="131">
        <f t="shared" si="18"/>
        <v>0</v>
      </c>
      <c r="J155" s="131">
        <f t="shared" si="18"/>
        <v>0</v>
      </c>
      <c r="K155" s="131">
        <f t="shared" si="18"/>
        <v>0</v>
      </c>
      <c r="L155" s="131">
        <f t="shared" si="18"/>
        <v>0</v>
      </c>
      <c r="M155" s="131">
        <f t="shared" si="18"/>
        <v>0</v>
      </c>
      <c r="N155" s="131">
        <f t="shared" si="18"/>
        <v>0</v>
      </c>
      <c r="O155" s="131">
        <f t="shared" si="18"/>
        <v>0</v>
      </c>
      <c r="P155" s="132">
        <f t="shared" si="18"/>
        <v>21719.246299028095</v>
      </c>
    </row>
    <row r="158" spans="2:16" ht="15" thickBot="1" x14ac:dyDescent="0.35">
      <c r="B158" s="24" t="s">
        <v>242</v>
      </c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</row>
    <row r="159" spans="2:16" ht="19.2" customHeight="1" x14ac:dyDescent="0.3">
      <c r="B159" s="113"/>
      <c r="C159" s="69"/>
      <c r="D159" s="70" t="s">
        <v>167</v>
      </c>
      <c r="E159" s="70" t="s">
        <v>168</v>
      </c>
      <c r="F159" s="70" t="s">
        <v>169</v>
      </c>
      <c r="G159" s="70" t="s">
        <v>170</v>
      </c>
      <c r="H159" s="70" t="s">
        <v>171</v>
      </c>
      <c r="I159" s="70" t="s">
        <v>172</v>
      </c>
      <c r="J159" s="70" t="s">
        <v>173</v>
      </c>
      <c r="K159" s="70" t="s">
        <v>174</v>
      </c>
      <c r="L159" s="70" t="s">
        <v>175</v>
      </c>
      <c r="M159" s="70" t="s">
        <v>176</v>
      </c>
      <c r="N159" s="70" t="s">
        <v>177</v>
      </c>
      <c r="O159" s="70" t="s">
        <v>178</v>
      </c>
      <c r="P159" s="71" t="s">
        <v>153</v>
      </c>
    </row>
    <row r="160" spans="2:16" x14ac:dyDescent="0.3">
      <c r="B160" s="65">
        <v>1</v>
      </c>
      <c r="C160" s="42" t="s">
        <v>240</v>
      </c>
      <c r="D160" s="115">
        <v>34643.22</v>
      </c>
      <c r="E160" s="115">
        <v>10156.700000000001</v>
      </c>
      <c r="F160" s="115">
        <v>144009.57999999999</v>
      </c>
      <c r="G160" s="115"/>
      <c r="H160" s="115"/>
      <c r="I160" s="115"/>
      <c r="J160" s="115"/>
      <c r="K160" s="115"/>
      <c r="L160" s="115"/>
      <c r="M160" s="115"/>
      <c r="N160" s="115"/>
      <c r="O160" s="115"/>
      <c r="P160" s="116">
        <f t="shared" ref="P160:P166" si="19">SUM(D160:O160)</f>
        <v>188809.5</v>
      </c>
    </row>
    <row r="161" spans="2:16" x14ac:dyDescent="0.3">
      <c r="B161" s="65">
        <v>2</v>
      </c>
      <c r="C161" s="42" t="s">
        <v>161</v>
      </c>
      <c r="D161" s="179">
        <f>D290*19</f>
        <v>84103.69</v>
      </c>
      <c r="E161" s="179">
        <f>E290*19</f>
        <v>243269.15999999997</v>
      </c>
      <c r="F161" s="179">
        <f>F290*19.7</f>
        <v>363431.31300000002</v>
      </c>
      <c r="G161" s="115"/>
      <c r="H161" s="115"/>
      <c r="I161" s="115"/>
      <c r="J161" s="115"/>
      <c r="K161" s="115"/>
      <c r="L161" s="115"/>
      <c r="M161" s="115"/>
      <c r="N161" s="115"/>
      <c r="O161" s="115"/>
      <c r="P161" s="116">
        <f t="shared" si="19"/>
        <v>690804.16299999994</v>
      </c>
    </row>
    <row r="162" spans="2:16" x14ac:dyDescent="0.3">
      <c r="B162" s="65">
        <v>3</v>
      </c>
      <c r="C162" s="42" t="s">
        <v>211</v>
      </c>
      <c r="D162" s="115">
        <f>D313*19</f>
        <v>0</v>
      </c>
      <c r="E162" s="115">
        <f>E313*19</f>
        <v>0</v>
      </c>
      <c r="F162" s="115">
        <f>F313*19</f>
        <v>0</v>
      </c>
      <c r="G162" s="115"/>
      <c r="H162" s="115"/>
      <c r="I162" s="115"/>
      <c r="J162" s="115"/>
      <c r="K162" s="115"/>
      <c r="L162" s="115"/>
      <c r="M162" s="115"/>
      <c r="N162" s="115"/>
      <c r="O162" s="115"/>
      <c r="P162" s="116">
        <f t="shared" si="19"/>
        <v>0</v>
      </c>
    </row>
    <row r="163" spans="2:16" x14ac:dyDescent="0.3">
      <c r="B163" s="65">
        <v>4</v>
      </c>
      <c r="C163" s="42" t="s">
        <v>191</v>
      </c>
      <c r="D163" s="115">
        <f>D313*19</f>
        <v>0</v>
      </c>
      <c r="E163" s="115">
        <f>E301*19</f>
        <v>23608.639999999999</v>
      </c>
      <c r="F163" s="115">
        <f>F301*19</f>
        <v>36340.737715736046</v>
      </c>
      <c r="G163" s="115"/>
      <c r="H163" s="115"/>
      <c r="I163" s="115"/>
      <c r="J163" s="115"/>
      <c r="K163" s="115"/>
      <c r="L163" s="115"/>
      <c r="M163" s="115"/>
      <c r="N163" s="115"/>
      <c r="O163" s="115"/>
      <c r="P163" s="116">
        <f t="shared" si="19"/>
        <v>59949.377715736046</v>
      </c>
    </row>
    <row r="164" spans="2:16" x14ac:dyDescent="0.3">
      <c r="B164" s="65">
        <v>5</v>
      </c>
      <c r="C164" s="42" t="s">
        <v>276</v>
      </c>
      <c r="D164" s="115">
        <v>52206.14</v>
      </c>
      <c r="E164" s="115">
        <v>74662.83</v>
      </c>
      <c r="F164" s="115">
        <v>72722.880000000005</v>
      </c>
      <c r="G164" s="115"/>
      <c r="H164" s="115"/>
      <c r="I164" s="115"/>
      <c r="J164" s="115"/>
      <c r="K164" s="115"/>
      <c r="L164" s="115"/>
      <c r="M164" s="115"/>
      <c r="N164" s="115"/>
      <c r="O164" s="115"/>
      <c r="P164" s="116">
        <f t="shared" si="19"/>
        <v>199591.85</v>
      </c>
    </row>
    <row r="165" spans="2:16" x14ac:dyDescent="0.3">
      <c r="B165" s="65">
        <v>6</v>
      </c>
      <c r="C165" s="42" t="s">
        <v>241</v>
      </c>
      <c r="D165" s="115">
        <v>1936</v>
      </c>
      <c r="E165" s="115">
        <v>1067</v>
      </c>
      <c r="F165" s="179">
        <f>2695.99+503+12656</f>
        <v>15854.99</v>
      </c>
      <c r="G165" s="115"/>
      <c r="H165" s="115"/>
      <c r="I165" s="115"/>
      <c r="J165" s="115"/>
      <c r="K165" s="115"/>
      <c r="L165" s="115"/>
      <c r="M165" s="115"/>
      <c r="N165" s="115"/>
      <c r="O165" s="115"/>
      <c r="P165" s="116">
        <f t="shared" si="19"/>
        <v>18857.989999999998</v>
      </c>
    </row>
    <row r="166" spans="2:16" x14ac:dyDescent="0.3">
      <c r="B166" s="133"/>
      <c r="C166" s="68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5">
        <f t="shared" si="19"/>
        <v>0</v>
      </c>
    </row>
    <row r="167" spans="2:16" ht="15" thickBot="1" x14ac:dyDescent="0.35">
      <c r="B167" s="114"/>
      <c r="C167" s="72" t="s">
        <v>215</v>
      </c>
      <c r="D167" s="119">
        <f>SUM(D160:D166)</f>
        <v>172889.05</v>
      </c>
      <c r="E167" s="119">
        <f t="shared" ref="E167:P167" si="20">SUM(E160:E166)</f>
        <v>352764.33</v>
      </c>
      <c r="F167" s="119">
        <f t="shared" si="20"/>
        <v>632359.50071573607</v>
      </c>
      <c r="G167" s="119">
        <f t="shared" si="20"/>
        <v>0</v>
      </c>
      <c r="H167" s="119">
        <f t="shared" si="20"/>
        <v>0</v>
      </c>
      <c r="I167" s="119">
        <f t="shared" si="20"/>
        <v>0</v>
      </c>
      <c r="J167" s="119">
        <f t="shared" si="20"/>
        <v>0</v>
      </c>
      <c r="K167" s="119">
        <f t="shared" si="20"/>
        <v>0</v>
      </c>
      <c r="L167" s="119">
        <f t="shared" si="20"/>
        <v>0</v>
      </c>
      <c r="M167" s="119">
        <f t="shared" si="20"/>
        <v>0</v>
      </c>
      <c r="N167" s="119">
        <f t="shared" si="20"/>
        <v>0</v>
      </c>
      <c r="O167" s="119">
        <f t="shared" si="20"/>
        <v>0</v>
      </c>
      <c r="P167" s="120">
        <f t="shared" si="20"/>
        <v>1158012.880715736</v>
      </c>
    </row>
    <row r="170" spans="2:16" ht="15" thickBot="1" x14ac:dyDescent="0.35">
      <c r="B170" s="24" t="s">
        <v>259</v>
      </c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</row>
    <row r="171" spans="2:16" ht="19.2" customHeight="1" x14ac:dyDescent="0.3">
      <c r="B171" s="113"/>
      <c r="C171" s="69"/>
      <c r="D171" s="70" t="s">
        <v>167</v>
      </c>
      <c r="E171" s="70" t="s">
        <v>168</v>
      </c>
      <c r="F171" s="70" t="s">
        <v>169</v>
      </c>
      <c r="G171" s="70" t="s">
        <v>170</v>
      </c>
      <c r="H171" s="70" t="s">
        <v>171</v>
      </c>
      <c r="I171" s="70" t="s">
        <v>172</v>
      </c>
      <c r="J171" s="70" t="s">
        <v>173</v>
      </c>
      <c r="K171" s="70" t="s">
        <v>174</v>
      </c>
      <c r="L171" s="70" t="s">
        <v>175</v>
      </c>
      <c r="M171" s="70" t="s">
        <v>176</v>
      </c>
      <c r="N171" s="70" t="s">
        <v>177</v>
      </c>
      <c r="O171" s="70" t="s">
        <v>178</v>
      </c>
      <c r="P171" s="71" t="s">
        <v>153</v>
      </c>
    </row>
    <row r="172" spans="2:16" x14ac:dyDescent="0.3">
      <c r="B172" s="65">
        <v>1</v>
      </c>
      <c r="C172" s="42" t="s">
        <v>268</v>
      </c>
      <c r="D172" s="127">
        <f>2500/1.15</f>
        <v>2173.913043478261</v>
      </c>
      <c r="E172" s="127">
        <f>2500/1.141</f>
        <v>2191.0604732690622</v>
      </c>
      <c r="F172" s="127">
        <f>2500/1.151</f>
        <v>2172.0243266724588</v>
      </c>
      <c r="G172" s="127"/>
      <c r="H172" s="127"/>
      <c r="I172" s="127"/>
      <c r="J172" s="127"/>
      <c r="K172" s="127"/>
      <c r="L172" s="127"/>
      <c r="M172" s="127"/>
      <c r="N172" s="127"/>
      <c r="O172" s="127"/>
      <c r="P172" s="128">
        <f t="shared" ref="P172:P180" si="21">SUM(D172:O172)</f>
        <v>6536.9978434197819</v>
      </c>
    </row>
    <row r="173" spans="2:16" x14ac:dyDescent="0.3">
      <c r="B173" s="65">
        <v>2</v>
      </c>
      <c r="C173" s="42" t="s">
        <v>88</v>
      </c>
      <c r="D173" s="127">
        <f>3364.66/1.15</f>
        <v>2925.7913043478261</v>
      </c>
      <c r="E173" s="127">
        <f>3314/1.141</f>
        <v>2904.4697633654687</v>
      </c>
      <c r="F173" s="127">
        <f>3585/1.151</f>
        <v>3114.6828844483057</v>
      </c>
      <c r="G173" s="127"/>
      <c r="H173" s="127"/>
      <c r="I173" s="127"/>
      <c r="J173" s="127"/>
      <c r="K173" s="127"/>
      <c r="L173" s="127"/>
      <c r="M173" s="127"/>
      <c r="N173" s="127"/>
      <c r="O173" s="127"/>
      <c r="P173" s="128">
        <f t="shared" si="21"/>
        <v>8944.9439521616005</v>
      </c>
    </row>
    <row r="174" spans="2:16" x14ac:dyDescent="0.3">
      <c r="B174" s="65">
        <v>3</v>
      </c>
      <c r="C174" s="42" t="s">
        <v>85</v>
      </c>
      <c r="D174" s="127">
        <f>1817.05/1.15</f>
        <v>1580.0434782608697</v>
      </c>
      <c r="E174" s="127">
        <f>1982/1.141</f>
        <v>1737.0727432077126</v>
      </c>
      <c r="F174" s="127">
        <f>1568/1.151</f>
        <v>1362.2936576889661</v>
      </c>
      <c r="G174" s="127"/>
      <c r="H174" s="127"/>
      <c r="I174" s="127"/>
      <c r="J174" s="127"/>
      <c r="K174" s="127"/>
      <c r="L174" s="127"/>
      <c r="M174" s="127"/>
      <c r="N174" s="127"/>
      <c r="O174" s="127"/>
      <c r="P174" s="128">
        <f t="shared" si="21"/>
        <v>4679.4098791575489</v>
      </c>
    </row>
    <row r="175" spans="2:16" x14ac:dyDescent="0.3">
      <c r="B175" s="65">
        <v>4</v>
      </c>
      <c r="C175" s="42" t="s">
        <v>89</v>
      </c>
      <c r="D175" s="127">
        <f>900.26/1.15</f>
        <v>782.83478260869572</v>
      </c>
      <c r="E175" s="127">
        <f>893/1.141</f>
        <v>782.64680105170896</v>
      </c>
      <c r="F175" s="127">
        <f>2251/1.151</f>
        <v>1955.6907037358817</v>
      </c>
      <c r="G175" s="127"/>
      <c r="H175" s="127"/>
      <c r="I175" s="127"/>
      <c r="J175" s="127"/>
      <c r="K175" s="127"/>
      <c r="L175" s="127"/>
      <c r="M175" s="127"/>
      <c r="N175" s="127"/>
      <c r="O175" s="127"/>
      <c r="P175" s="128">
        <f t="shared" si="21"/>
        <v>3521.1722873962863</v>
      </c>
    </row>
    <row r="176" spans="2:16" x14ac:dyDescent="0.3">
      <c r="B176" s="65">
        <v>5</v>
      </c>
      <c r="C176" s="42" t="s">
        <v>161</v>
      </c>
      <c r="D176" s="180">
        <f>D289/1.15</f>
        <v>8787.060869565219</v>
      </c>
      <c r="E176" s="180">
        <f>E289/1.141</f>
        <v>13668.317265556529</v>
      </c>
      <c r="F176" s="180">
        <f>F289/1.151</f>
        <v>15294.682884448306</v>
      </c>
      <c r="G176" s="127"/>
      <c r="H176" s="127"/>
      <c r="I176" s="127"/>
      <c r="J176" s="127"/>
      <c r="K176" s="127"/>
      <c r="L176" s="127"/>
      <c r="M176" s="127"/>
      <c r="N176" s="127"/>
      <c r="O176" s="127"/>
      <c r="P176" s="128">
        <f t="shared" si="21"/>
        <v>37750.061019570057</v>
      </c>
    </row>
    <row r="177" spans="2:16" x14ac:dyDescent="0.3">
      <c r="B177" s="65">
        <v>6</v>
      </c>
      <c r="C177" s="42" t="s">
        <v>211</v>
      </c>
      <c r="D177" s="127">
        <f>D312/1.15</f>
        <v>4026.9565217391309</v>
      </c>
      <c r="E177" s="127">
        <f>E312/1.141</f>
        <v>3395.88</v>
      </c>
      <c r="F177" s="127">
        <f>F312/1.151</f>
        <v>3807.54</v>
      </c>
      <c r="G177" s="127"/>
      <c r="H177" s="127"/>
      <c r="I177" s="127"/>
      <c r="J177" s="127"/>
      <c r="K177" s="127"/>
      <c r="L177" s="127"/>
      <c r="M177" s="127"/>
      <c r="N177" s="127"/>
      <c r="O177" s="127"/>
      <c r="P177" s="128">
        <f t="shared" si="21"/>
        <v>11230.37652173913</v>
      </c>
    </row>
    <row r="178" spans="2:16" x14ac:dyDescent="0.3">
      <c r="B178" s="65">
        <v>7</v>
      </c>
      <c r="C178" s="42" t="s">
        <v>191</v>
      </c>
      <c r="D178" s="127">
        <f>D300/1.15</f>
        <v>8298.7304347826102</v>
      </c>
      <c r="E178" s="127">
        <f>E300/1.141</f>
        <v>4410.5959684487289</v>
      </c>
      <c r="F178" s="127">
        <f>F300/1.151</f>
        <v>5675.1164205039095</v>
      </c>
      <c r="G178" s="127"/>
      <c r="H178" s="127"/>
      <c r="I178" s="127"/>
      <c r="J178" s="127"/>
      <c r="K178" s="127"/>
      <c r="L178" s="127"/>
      <c r="M178" s="127"/>
      <c r="N178" s="127"/>
      <c r="O178" s="127"/>
      <c r="P178" s="128">
        <f t="shared" si="21"/>
        <v>18384.442823735248</v>
      </c>
    </row>
    <row r="179" spans="2:16" x14ac:dyDescent="0.3">
      <c r="B179" s="65">
        <v>8</v>
      </c>
      <c r="C179" s="42" t="s">
        <v>276</v>
      </c>
      <c r="D179" s="127">
        <f>D324/1.15</f>
        <v>1293.4260869565219</v>
      </c>
      <c r="E179" s="127">
        <f>E324/1.141</f>
        <v>4196.9938650306749</v>
      </c>
      <c r="F179" s="127">
        <f>F324/1.151</f>
        <v>7994.0410000000002</v>
      </c>
      <c r="G179" s="127"/>
      <c r="H179" s="127"/>
      <c r="I179" s="127"/>
      <c r="J179" s="127"/>
      <c r="K179" s="127"/>
      <c r="L179" s="127"/>
      <c r="M179" s="127"/>
      <c r="N179" s="127"/>
      <c r="O179" s="127"/>
      <c r="P179" s="128">
        <f t="shared" si="21"/>
        <v>13484.460951987196</v>
      </c>
    </row>
    <row r="180" spans="2:16" x14ac:dyDescent="0.3">
      <c r="B180" s="65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8">
        <f t="shared" si="21"/>
        <v>0</v>
      </c>
    </row>
    <row r="181" spans="2:16" x14ac:dyDescent="0.3">
      <c r="B181" s="67"/>
      <c r="C181" s="68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30">
        <f t="shared" ref="P181" si="22">SUM(D181:O181)</f>
        <v>0</v>
      </c>
    </row>
    <row r="182" spans="2:16" ht="15" thickBot="1" x14ac:dyDescent="0.35">
      <c r="B182" s="114"/>
      <c r="C182" s="72" t="s">
        <v>207</v>
      </c>
      <c r="D182" s="131">
        <f>SUM(D172:D181)</f>
        <v>29868.756521739135</v>
      </c>
      <c r="E182" s="131">
        <f t="shared" ref="E182:P182" si="23">SUM(E172:E181)</f>
        <v>33287.036879929881</v>
      </c>
      <c r="F182" s="131">
        <f t="shared" si="23"/>
        <v>41376.07187749783</v>
      </c>
      <c r="G182" s="131">
        <f t="shared" si="23"/>
        <v>0</v>
      </c>
      <c r="H182" s="131">
        <f t="shared" si="23"/>
        <v>0</v>
      </c>
      <c r="I182" s="131">
        <f t="shared" si="23"/>
        <v>0</v>
      </c>
      <c r="J182" s="131">
        <f t="shared" si="23"/>
        <v>0</v>
      </c>
      <c r="K182" s="131">
        <f t="shared" si="23"/>
        <v>0</v>
      </c>
      <c r="L182" s="131">
        <f t="shared" si="23"/>
        <v>0</v>
      </c>
      <c r="M182" s="131">
        <f t="shared" si="23"/>
        <v>0</v>
      </c>
      <c r="N182" s="131">
        <f t="shared" si="23"/>
        <v>0</v>
      </c>
      <c r="O182" s="131">
        <f t="shared" si="23"/>
        <v>0</v>
      </c>
      <c r="P182" s="132">
        <f t="shared" si="23"/>
        <v>104531.86527916684</v>
      </c>
    </row>
    <row r="185" spans="2:16" ht="15" thickBot="1" x14ac:dyDescent="0.35">
      <c r="B185" s="24" t="s">
        <v>278</v>
      </c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</row>
    <row r="186" spans="2:16" ht="19.2" customHeight="1" x14ac:dyDescent="0.3">
      <c r="B186" s="113"/>
      <c r="C186" s="69"/>
      <c r="D186" s="70" t="s">
        <v>167</v>
      </c>
      <c r="E186" s="70" t="s">
        <v>168</v>
      </c>
      <c r="F186" s="70" t="s">
        <v>169</v>
      </c>
      <c r="G186" s="70" t="s">
        <v>170</v>
      </c>
      <c r="H186" s="70" t="s">
        <v>171</v>
      </c>
      <c r="I186" s="70" t="s">
        <v>172</v>
      </c>
      <c r="J186" s="70" t="s">
        <v>173</v>
      </c>
      <c r="K186" s="70" t="s">
        <v>174</v>
      </c>
      <c r="L186" s="70" t="s">
        <v>175</v>
      </c>
      <c r="M186" s="70" t="s">
        <v>176</v>
      </c>
      <c r="N186" s="70" t="s">
        <v>177</v>
      </c>
      <c r="O186" s="70" t="s">
        <v>178</v>
      </c>
      <c r="P186" s="71" t="s">
        <v>153</v>
      </c>
    </row>
    <row r="187" spans="2:16" x14ac:dyDescent="0.3">
      <c r="B187" s="65">
        <v>1</v>
      </c>
      <c r="C187" s="42" t="s">
        <v>279</v>
      </c>
      <c r="D187" s="127">
        <v>92.94</v>
      </c>
      <c r="E187" s="127">
        <v>92.94</v>
      </c>
      <c r="F187" s="127">
        <v>92.94</v>
      </c>
      <c r="G187" s="127"/>
      <c r="H187" s="127"/>
      <c r="I187" s="127"/>
      <c r="J187" s="127"/>
      <c r="K187" s="127"/>
      <c r="L187" s="127"/>
      <c r="M187" s="127"/>
      <c r="N187" s="127"/>
      <c r="O187" s="127"/>
      <c r="P187" s="128">
        <f t="shared" ref="P187:P190" si="24">SUM(D187:O187)</f>
        <v>278.82</v>
      </c>
    </row>
    <row r="188" spans="2:16" x14ac:dyDescent="0.3">
      <c r="B188" s="65">
        <v>2</v>
      </c>
      <c r="C188" s="42" t="s">
        <v>280</v>
      </c>
      <c r="D188" s="127">
        <v>0</v>
      </c>
      <c r="E188" s="127">
        <v>654</v>
      </c>
      <c r="F188" s="127">
        <v>0</v>
      </c>
      <c r="G188" s="127"/>
      <c r="H188" s="127"/>
      <c r="I188" s="127"/>
      <c r="J188" s="127"/>
      <c r="K188" s="127"/>
      <c r="L188" s="127"/>
      <c r="M188" s="127"/>
      <c r="N188" s="127"/>
      <c r="O188" s="127"/>
      <c r="P188" s="128">
        <f t="shared" si="24"/>
        <v>654</v>
      </c>
    </row>
    <row r="189" spans="2:16" x14ac:dyDescent="0.3">
      <c r="B189" s="65">
        <v>3</v>
      </c>
      <c r="C189" s="42" t="s">
        <v>288</v>
      </c>
      <c r="D189" s="127">
        <v>0</v>
      </c>
      <c r="E189" s="127">
        <v>2700</v>
      </c>
      <c r="F189" s="127">
        <v>0</v>
      </c>
      <c r="G189" s="127"/>
      <c r="H189" s="127"/>
      <c r="I189" s="127"/>
      <c r="J189" s="127"/>
      <c r="K189" s="127"/>
      <c r="L189" s="127"/>
      <c r="M189" s="127"/>
      <c r="N189" s="127"/>
      <c r="O189" s="127"/>
      <c r="P189" s="128">
        <f t="shared" si="24"/>
        <v>2700</v>
      </c>
    </row>
    <row r="190" spans="2:16" x14ac:dyDescent="0.3">
      <c r="B190" s="65">
        <v>4</v>
      </c>
      <c r="C190" s="42" t="s">
        <v>290</v>
      </c>
      <c r="D190" s="127">
        <v>4638.04</v>
      </c>
      <c r="E190" s="127">
        <v>0</v>
      </c>
      <c r="F190" s="127">
        <v>0</v>
      </c>
      <c r="G190" s="127"/>
      <c r="H190" s="127"/>
      <c r="I190" s="127"/>
      <c r="J190" s="127"/>
      <c r="K190" s="127"/>
      <c r="L190" s="127"/>
      <c r="M190" s="127"/>
      <c r="N190" s="127"/>
      <c r="O190" s="127"/>
      <c r="P190" s="128">
        <f t="shared" si="24"/>
        <v>4638.04</v>
      </c>
    </row>
    <row r="191" spans="2:16" x14ac:dyDescent="0.3">
      <c r="B191" s="67"/>
      <c r="C191" s="68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30">
        <f t="shared" ref="P191" si="25">SUM(D191:O191)</f>
        <v>0</v>
      </c>
    </row>
    <row r="192" spans="2:16" ht="15" thickBot="1" x14ac:dyDescent="0.35">
      <c r="B192" s="114"/>
      <c r="C192" s="72" t="s">
        <v>207</v>
      </c>
      <c r="D192" s="131">
        <f>SUM(D187:D191)</f>
        <v>4730.9799999999996</v>
      </c>
      <c r="E192" s="131">
        <f t="shared" ref="E192:P192" si="26">SUM(E187:E191)</f>
        <v>3446.94</v>
      </c>
      <c r="F192" s="131">
        <f t="shared" si="26"/>
        <v>92.94</v>
      </c>
      <c r="G192" s="131">
        <f t="shared" si="26"/>
        <v>0</v>
      </c>
      <c r="H192" s="131">
        <f t="shared" si="26"/>
        <v>0</v>
      </c>
      <c r="I192" s="131">
        <f t="shared" si="26"/>
        <v>0</v>
      </c>
      <c r="J192" s="131">
        <f t="shared" si="26"/>
        <v>0</v>
      </c>
      <c r="K192" s="131">
        <f t="shared" si="26"/>
        <v>0</v>
      </c>
      <c r="L192" s="131">
        <f t="shared" si="26"/>
        <v>0</v>
      </c>
      <c r="M192" s="131">
        <f t="shared" si="26"/>
        <v>0</v>
      </c>
      <c r="N192" s="131">
        <f t="shared" si="26"/>
        <v>0</v>
      </c>
      <c r="O192" s="131">
        <f t="shared" si="26"/>
        <v>0</v>
      </c>
      <c r="P192" s="132">
        <f t="shared" si="26"/>
        <v>8270.86</v>
      </c>
    </row>
    <row r="195" spans="2:16" ht="15" thickBot="1" x14ac:dyDescent="0.35">
      <c r="B195" s="24" t="s">
        <v>316</v>
      </c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</row>
    <row r="196" spans="2:16" ht="19.2" customHeight="1" x14ac:dyDescent="0.3">
      <c r="B196" s="113"/>
      <c r="C196" s="69"/>
      <c r="D196" s="70" t="s">
        <v>167</v>
      </c>
      <c r="E196" s="70" t="s">
        <v>168</v>
      </c>
      <c r="F196" s="70" t="s">
        <v>169</v>
      </c>
      <c r="G196" s="70" t="s">
        <v>170</v>
      </c>
      <c r="H196" s="70" t="s">
        <v>171</v>
      </c>
      <c r="I196" s="70" t="s">
        <v>172</v>
      </c>
      <c r="J196" s="70" t="s">
        <v>173</v>
      </c>
      <c r="K196" s="70" t="s">
        <v>174</v>
      </c>
      <c r="L196" s="70" t="s">
        <v>175</v>
      </c>
      <c r="M196" s="70" t="s">
        <v>176</v>
      </c>
      <c r="N196" s="70" t="s">
        <v>177</v>
      </c>
      <c r="O196" s="70" t="s">
        <v>178</v>
      </c>
      <c r="P196" s="71" t="s">
        <v>153</v>
      </c>
    </row>
    <row r="197" spans="2:16" x14ac:dyDescent="0.3">
      <c r="B197" s="65">
        <v>1</v>
      </c>
      <c r="C197" s="42" t="s">
        <v>135</v>
      </c>
      <c r="D197" s="127">
        <f>1763.74+(300/1.15)</f>
        <v>2024.6095652173913</v>
      </c>
      <c r="E197" s="127">
        <f>1763.74+(300/1.141)</f>
        <v>2026.6672567922874</v>
      </c>
      <c r="F197" s="127">
        <f>1763.74+(300/1.151)</f>
        <v>2024.3829192006951</v>
      </c>
      <c r="G197" s="127"/>
      <c r="H197" s="127"/>
      <c r="I197" s="127"/>
      <c r="J197" s="127"/>
      <c r="K197" s="127"/>
      <c r="L197" s="127"/>
      <c r="M197" s="127"/>
      <c r="N197" s="127"/>
      <c r="O197" s="127"/>
      <c r="P197" s="128">
        <f t="shared" ref="P197:P198" si="27">SUM(D197:O197)</f>
        <v>6075.6597412103738</v>
      </c>
    </row>
    <row r="198" spans="2:16" x14ac:dyDescent="0.3">
      <c r="B198" s="67"/>
      <c r="C198" s="68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30">
        <f t="shared" si="27"/>
        <v>0</v>
      </c>
    </row>
    <row r="199" spans="2:16" ht="15" thickBot="1" x14ac:dyDescent="0.35">
      <c r="B199" s="114"/>
      <c r="C199" s="72" t="s">
        <v>207</v>
      </c>
      <c r="D199" s="131">
        <f>SUM(D197:D198)</f>
        <v>2024.6095652173913</v>
      </c>
      <c r="E199" s="131">
        <f>SUM(E197:E198)</f>
        <v>2026.6672567922874</v>
      </c>
      <c r="F199" s="131">
        <f>SUM(F197:F198)</f>
        <v>2024.3829192006951</v>
      </c>
      <c r="G199" s="131">
        <f>SUM(G197:G198)</f>
        <v>0</v>
      </c>
      <c r="H199" s="131">
        <f>SUM(H197:H198)</f>
        <v>0</v>
      </c>
      <c r="I199" s="131">
        <f>SUM(I197:I198)</f>
        <v>0</v>
      </c>
      <c r="J199" s="131">
        <f>SUM(J197:J198)</f>
        <v>0</v>
      </c>
      <c r="K199" s="131">
        <f>SUM(K197:K198)</f>
        <v>0</v>
      </c>
      <c r="L199" s="131">
        <f>SUM(L197:L198)</f>
        <v>0</v>
      </c>
      <c r="M199" s="131">
        <f>SUM(M197:M198)</f>
        <v>0</v>
      </c>
      <c r="N199" s="131">
        <f>SUM(N197:N198)</f>
        <v>0</v>
      </c>
      <c r="O199" s="131">
        <f>SUM(O197:O198)</f>
        <v>0</v>
      </c>
      <c r="P199" s="132">
        <f>SUM(P197:P198)</f>
        <v>6075.6597412103738</v>
      </c>
    </row>
    <row r="202" spans="2:16" ht="15" thickBot="1" x14ac:dyDescent="0.35">
      <c r="B202" s="24" t="s">
        <v>327</v>
      </c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</row>
    <row r="203" spans="2:16" ht="19.2" customHeight="1" x14ac:dyDescent="0.3">
      <c r="B203" s="113"/>
      <c r="C203" s="69"/>
      <c r="D203" s="70" t="s">
        <v>167</v>
      </c>
      <c r="E203" s="70" t="s">
        <v>168</v>
      </c>
      <c r="F203" s="70" t="s">
        <v>169</v>
      </c>
      <c r="G203" s="70" t="s">
        <v>170</v>
      </c>
      <c r="H203" s="70" t="s">
        <v>171</v>
      </c>
      <c r="I203" s="70" t="s">
        <v>172</v>
      </c>
      <c r="J203" s="70" t="s">
        <v>173</v>
      </c>
      <c r="K203" s="70" t="s">
        <v>174</v>
      </c>
      <c r="L203" s="70" t="s">
        <v>175</v>
      </c>
      <c r="M203" s="70" t="s">
        <v>176</v>
      </c>
      <c r="N203" s="70" t="s">
        <v>177</v>
      </c>
      <c r="O203" s="70" t="s">
        <v>178</v>
      </c>
      <c r="P203" s="71" t="s">
        <v>153</v>
      </c>
    </row>
    <row r="204" spans="2:16" x14ac:dyDescent="0.3">
      <c r="B204" s="65">
        <v>1</v>
      </c>
      <c r="C204" s="42" t="s">
        <v>328</v>
      </c>
      <c r="D204" s="170">
        <v>9673.8799999999992</v>
      </c>
      <c r="E204" s="170">
        <v>9673.8799999999992</v>
      </c>
      <c r="F204" s="170">
        <v>0</v>
      </c>
      <c r="G204" s="170"/>
      <c r="H204" s="170"/>
      <c r="I204" s="170"/>
      <c r="J204" s="170"/>
      <c r="K204" s="170"/>
      <c r="L204" s="170"/>
      <c r="M204" s="170"/>
      <c r="N204" s="170"/>
      <c r="O204" s="170"/>
      <c r="P204" s="171">
        <f t="shared" ref="P204:P206" si="28">SUM(D204:O204)</f>
        <v>19347.759999999998</v>
      </c>
    </row>
    <row r="205" spans="2:16" x14ac:dyDescent="0.3">
      <c r="B205" s="65">
        <v>2</v>
      </c>
      <c r="C205" s="42" t="s">
        <v>329</v>
      </c>
      <c r="D205" s="170">
        <v>23599.46</v>
      </c>
      <c r="E205" s="170">
        <v>24941.38</v>
      </c>
      <c r="F205" s="170">
        <v>25680.78</v>
      </c>
      <c r="G205" s="170"/>
      <c r="H205" s="170"/>
      <c r="I205" s="170"/>
      <c r="J205" s="170"/>
      <c r="K205" s="170"/>
      <c r="L205" s="170"/>
      <c r="M205" s="170"/>
      <c r="N205" s="170"/>
      <c r="O205" s="170"/>
      <c r="P205" s="171"/>
    </row>
    <row r="206" spans="2:16" x14ac:dyDescent="0.3">
      <c r="B206" s="67"/>
      <c r="C206" s="68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3">
        <f t="shared" si="28"/>
        <v>0</v>
      </c>
    </row>
    <row r="207" spans="2:16" ht="15" thickBot="1" x14ac:dyDescent="0.35">
      <c r="B207" s="114"/>
      <c r="C207" s="72" t="s">
        <v>207</v>
      </c>
      <c r="D207" s="174">
        <f>SUM(D204:D206)</f>
        <v>33273.339999999997</v>
      </c>
      <c r="E207" s="174">
        <f>SUM(E204:E206)</f>
        <v>34615.26</v>
      </c>
      <c r="F207" s="174">
        <f>SUM(F204:F206)</f>
        <v>25680.78</v>
      </c>
      <c r="G207" s="174">
        <f>SUM(G204:G206)</f>
        <v>0</v>
      </c>
      <c r="H207" s="174">
        <f>SUM(H204:H206)</f>
        <v>0</v>
      </c>
      <c r="I207" s="174">
        <f>SUM(I204:I206)</f>
        <v>0</v>
      </c>
      <c r="J207" s="174">
        <f>SUM(J204:J206)</f>
        <v>0</v>
      </c>
      <c r="K207" s="174">
        <f>SUM(K204:K206)</f>
        <v>0</v>
      </c>
      <c r="L207" s="174">
        <f>SUM(L204:L206)</f>
        <v>0</v>
      </c>
      <c r="M207" s="174">
        <f>SUM(M204:M206)</f>
        <v>0</v>
      </c>
      <c r="N207" s="174">
        <f>SUM(N204:N206)</f>
        <v>0</v>
      </c>
      <c r="O207" s="174">
        <f>SUM(O204:O206)</f>
        <v>0</v>
      </c>
      <c r="P207" s="175">
        <f>SUM(P204:P206)</f>
        <v>19347.759999999998</v>
      </c>
    </row>
    <row r="210" spans="2:16" ht="15" thickBot="1" x14ac:dyDescent="0.35">
      <c r="B210" s="24" t="s">
        <v>281</v>
      </c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</row>
    <row r="211" spans="2:16" ht="19.2" customHeight="1" x14ac:dyDescent="0.3">
      <c r="B211" s="113"/>
      <c r="C211" s="69"/>
      <c r="D211" s="70" t="s">
        <v>167</v>
      </c>
      <c r="E211" s="70" t="s">
        <v>168</v>
      </c>
      <c r="F211" s="70" t="s">
        <v>169</v>
      </c>
      <c r="G211" s="70" t="s">
        <v>170</v>
      </c>
      <c r="H211" s="70" t="s">
        <v>171</v>
      </c>
      <c r="I211" s="70" t="s">
        <v>172</v>
      </c>
      <c r="J211" s="70" t="s">
        <v>173</v>
      </c>
      <c r="K211" s="70" t="s">
        <v>174</v>
      </c>
      <c r="L211" s="70" t="s">
        <v>175</v>
      </c>
      <c r="M211" s="70" t="s">
        <v>176</v>
      </c>
      <c r="N211" s="70" t="s">
        <v>177</v>
      </c>
      <c r="O211" s="70" t="s">
        <v>178</v>
      </c>
      <c r="P211" s="71" t="s">
        <v>153</v>
      </c>
    </row>
    <row r="212" spans="2:16" x14ac:dyDescent="0.3">
      <c r="B212" s="65">
        <v>1</v>
      </c>
      <c r="C212" s="42" t="s">
        <v>282</v>
      </c>
      <c r="D212" s="127">
        <v>229.17</v>
      </c>
      <c r="E212" s="127">
        <v>229.17</v>
      </c>
      <c r="F212" s="127">
        <v>229.17</v>
      </c>
      <c r="G212" s="127"/>
      <c r="H212" s="127"/>
      <c r="I212" s="127"/>
      <c r="J212" s="127"/>
      <c r="K212" s="127"/>
      <c r="L212" s="127"/>
      <c r="M212" s="127"/>
      <c r="N212" s="127"/>
      <c r="O212" s="127"/>
      <c r="P212" s="128">
        <f t="shared" ref="P212:P225" si="29">SUM(D212:O212)</f>
        <v>687.51</v>
      </c>
    </row>
    <row r="213" spans="2:16" x14ac:dyDescent="0.3">
      <c r="B213" s="65">
        <v>2</v>
      </c>
      <c r="C213" s="42" t="s">
        <v>283</v>
      </c>
      <c r="D213" s="127">
        <v>13104.27</v>
      </c>
      <c r="E213" s="127">
        <v>10068.24</v>
      </c>
      <c r="F213" s="127">
        <v>11705.225000000013</v>
      </c>
      <c r="G213" s="127"/>
      <c r="H213" s="127"/>
      <c r="I213" s="127"/>
      <c r="J213" s="127"/>
      <c r="K213" s="127"/>
      <c r="L213" s="127"/>
      <c r="M213" s="127"/>
      <c r="N213" s="127"/>
      <c r="O213" s="127"/>
      <c r="P213" s="128">
        <f t="shared" si="29"/>
        <v>34877.735000000015</v>
      </c>
    </row>
    <row r="214" spans="2:16" x14ac:dyDescent="0.3">
      <c r="B214" s="65">
        <v>3</v>
      </c>
      <c r="C214" s="42" t="s">
        <v>284</v>
      </c>
      <c r="D214" s="127">
        <v>4505.4799999999996</v>
      </c>
      <c r="E214" s="127">
        <v>3657.81</v>
      </c>
      <c r="F214" s="127">
        <v>3850.74</v>
      </c>
      <c r="G214" s="127"/>
      <c r="H214" s="127"/>
      <c r="I214" s="127"/>
      <c r="J214" s="127"/>
      <c r="K214" s="127"/>
      <c r="L214" s="127"/>
      <c r="M214" s="127"/>
      <c r="N214" s="127"/>
      <c r="O214" s="127"/>
      <c r="P214" s="128">
        <f t="shared" si="29"/>
        <v>12014.029999999999</v>
      </c>
    </row>
    <row r="215" spans="2:16" x14ac:dyDescent="0.3">
      <c r="B215" s="65">
        <v>4</v>
      </c>
      <c r="C215" s="42" t="s">
        <v>285</v>
      </c>
      <c r="D215" s="127">
        <v>57.97</v>
      </c>
      <c r="E215" s="127">
        <v>16.38</v>
      </c>
      <c r="F215" s="127">
        <v>316.38</v>
      </c>
      <c r="G215" s="127"/>
      <c r="H215" s="127"/>
      <c r="I215" s="127"/>
      <c r="J215" s="127"/>
      <c r="K215" s="127"/>
      <c r="L215" s="127"/>
      <c r="M215" s="127"/>
      <c r="N215" s="127"/>
      <c r="O215" s="127"/>
      <c r="P215" s="128">
        <f t="shared" si="29"/>
        <v>390.73</v>
      </c>
    </row>
    <row r="216" spans="2:16" x14ac:dyDescent="0.3">
      <c r="B216" s="65">
        <v>5</v>
      </c>
      <c r="C216" s="42" t="s">
        <v>286</v>
      </c>
      <c r="D216" s="127">
        <v>4.0599999999999996</v>
      </c>
      <c r="E216" s="127">
        <v>3.77</v>
      </c>
      <c r="F216" s="127">
        <v>0</v>
      </c>
      <c r="G216" s="127"/>
      <c r="H216" s="127"/>
      <c r="I216" s="127"/>
      <c r="J216" s="127"/>
      <c r="K216" s="127"/>
      <c r="L216" s="127"/>
      <c r="M216" s="127"/>
      <c r="N216" s="127"/>
      <c r="O216" s="127"/>
      <c r="P216" s="128">
        <f t="shared" si="29"/>
        <v>7.83</v>
      </c>
    </row>
    <row r="217" spans="2:16" x14ac:dyDescent="0.3">
      <c r="B217" s="65">
        <v>6</v>
      </c>
      <c r="C217" s="42" t="s">
        <v>287</v>
      </c>
      <c r="D217" s="127">
        <v>0.25</v>
      </c>
      <c r="E217" s="127">
        <v>0.25405449999999996</v>
      </c>
      <c r="F217" s="127">
        <v>0.76</v>
      </c>
      <c r="G217" s="127"/>
      <c r="H217" s="127"/>
      <c r="I217" s="127"/>
      <c r="J217" s="127"/>
      <c r="K217" s="127"/>
      <c r="L217" s="127"/>
      <c r="M217" s="127"/>
      <c r="N217" s="127"/>
      <c r="O217" s="127"/>
      <c r="P217" s="128">
        <f t="shared" si="29"/>
        <v>1.2640544999999999</v>
      </c>
    </row>
    <row r="218" spans="2:16" x14ac:dyDescent="0.3">
      <c r="B218" s="65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8">
        <f t="shared" si="29"/>
        <v>0</v>
      </c>
    </row>
    <row r="219" spans="2:16" x14ac:dyDescent="0.3">
      <c r="B219" s="65"/>
      <c r="C219" s="24" t="s">
        <v>292</v>
      </c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8">
        <f t="shared" si="29"/>
        <v>0</v>
      </c>
    </row>
    <row r="220" spans="2:16" x14ac:dyDescent="0.3">
      <c r="B220" s="65">
        <v>7</v>
      </c>
      <c r="C220" s="42" t="s">
        <v>293</v>
      </c>
      <c r="D220" s="127">
        <v>628.98260869565229</v>
      </c>
      <c r="E220" s="127">
        <v>1.1568799298860648</v>
      </c>
      <c r="F220" s="127">
        <v>8.3492615117289315</v>
      </c>
      <c r="G220" s="127"/>
      <c r="H220" s="127"/>
      <c r="I220" s="127"/>
      <c r="J220" s="127"/>
      <c r="K220" s="127"/>
      <c r="L220" s="127"/>
      <c r="M220" s="127"/>
      <c r="N220" s="127"/>
      <c r="O220" s="127"/>
      <c r="P220" s="128">
        <f t="shared" si="29"/>
        <v>638.48875013726729</v>
      </c>
    </row>
    <row r="221" spans="2:16" x14ac:dyDescent="0.3">
      <c r="B221" s="65">
        <v>8</v>
      </c>
      <c r="C221" s="42" t="s">
        <v>287</v>
      </c>
      <c r="D221" s="127">
        <v>0.25217391304347825</v>
      </c>
      <c r="E221" s="127">
        <v>12.997370727432077</v>
      </c>
      <c r="F221" s="127">
        <v>0.7558644656820156</v>
      </c>
      <c r="G221" s="127"/>
      <c r="H221" s="127"/>
      <c r="I221" s="127"/>
      <c r="J221" s="127"/>
      <c r="K221" s="127"/>
      <c r="L221" s="127"/>
      <c r="M221" s="127"/>
      <c r="N221" s="127"/>
      <c r="O221" s="127"/>
      <c r="P221" s="128"/>
    </row>
    <row r="222" spans="2:16" x14ac:dyDescent="0.3">
      <c r="B222" s="65">
        <v>9</v>
      </c>
      <c r="C222" s="42" t="s">
        <v>294</v>
      </c>
      <c r="D222" s="127">
        <v>1.164842747826087</v>
      </c>
      <c r="E222" s="127">
        <v>0</v>
      </c>
      <c r="F222" s="127">
        <v>0.58338072980017375</v>
      </c>
      <c r="G222" s="127"/>
      <c r="H222" s="127"/>
      <c r="I222" s="127"/>
      <c r="J222" s="127"/>
      <c r="K222" s="127"/>
      <c r="L222" s="127"/>
      <c r="M222" s="127"/>
      <c r="N222" s="127"/>
      <c r="O222" s="127"/>
      <c r="P222" s="128"/>
    </row>
    <row r="223" spans="2:16" x14ac:dyDescent="0.3">
      <c r="B223" s="65">
        <v>10</v>
      </c>
      <c r="C223" s="42" t="s">
        <v>284</v>
      </c>
      <c r="D223" s="127">
        <v>1626.3217391304349</v>
      </c>
      <c r="E223" s="127">
        <v>1545.7230499561788</v>
      </c>
      <c r="F223" s="127">
        <v>1426.7245873153779</v>
      </c>
      <c r="G223" s="127"/>
      <c r="H223" s="127"/>
      <c r="I223" s="127"/>
      <c r="J223" s="127"/>
      <c r="K223" s="127"/>
      <c r="L223" s="127"/>
      <c r="M223" s="127"/>
      <c r="N223" s="127"/>
      <c r="O223" s="127"/>
      <c r="P223" s="128"/>
    </row>
    <row r="224" spans="2:16" x14ac:dyDescent="0.3">
      <c r="B224" s="65">
        <v>11</v>
      </c>
      <c r="C224" s="42" t="s">
        <v>283</v>
      </c>
      <c r="D224" s="127">
        <v>104.53043478260869</v>
      </c>
      <c r="E224" s="127">
        <v>16.687116564417177</v>
      </c>
      <c r="F224" s="127">
        <v>110.04344048653344</v>
      </c>
      <c r="G224" s="127"/>
      <c r="H224" s="127"/>
      <c r="I224" s="127"/>
      <c r="J224" s="127"/>
      <c r="K224" s="127"/>
      <c r="L224" s="127"/>
      <c r="M224" s="127"/>
      <c r="N224" s="127"/>
      <c r="O224" s="127"/>
      <c r="P224" s="128">
        <f t="shared" si="29"/>
        <v>231.26099183355933</v>
      </c>
    </row>
    <row r="225" spans="2:16" x14ac:dyDescent="0.3">
      <c r="B225" s="65">
        <v>12</v>
      </c>
      <c r="C225" s="42" t="s">
        <v>295</v>
      </c>
      <c r="D225" s="127">
        <v>1740.5826086956524</v>
      </c>
      <c r="E225" s="127">
        <v>2108.1682734443471</v>
      </c>
      <c r="F225" s="127">
        <v>2232.180712423979</v>
      </c>
      <c r="G225" s="127"/>
      <c r="H225" s="127"/>
      <c r="I225" s="127"/>
      <c r="J225" s="127"/>
      <c r="K225" s="127"/>
      <c r="L225" s="127"/>
      <c r="M225" s="127"/>
      <c r="N225" s="127"/>
      <c r="O225" s="127"/>
      <c r="P225" s="128">
        <f t="shared" si="29"/>
        <v>6080.9315945639792</v>
      </c>
    </row>
    <row r="226" spans="2:16" x14ac:dyDescent="0.3">
      <c r="B226" s="65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8"/>
    </row>
    <row r="227" spans="2:16" x14ac:dyDescent="0.3">
      <c r="B227" s="65">
        <v>13</v>
      </c>
      <c r="C227" s="42" t="s">
        <v>299</v>
      </c>
      <c r="D227" s="127">
        <f>507.42/5.04</f>
        <v>100.67857142857143</v>
      </c>
      <c r="E227" s="127">
        <f>935.63/4.95</f>
        <v>189.01616161616161</v>
      </c>
      <c r="F227" s="127">
        <f>331.65/4.85</f>
        <v>68.381443298969074</v>
      </c>
      <c r="G227" s="127"/>
      <c r="H227" s="127"/>
      <c r="I227" s="127"/>
      <c r="J227" s="127"/>
      <c r="K227" s="127"/>
      <c r="L227" s="127"/>
      <c r="M227" s="127"/>
      <c r="N227" s="127"/>
      <c r="O227" s="127"/>
      <c r="P227" s="128"/>
    </row>
    <row r="228" spans="2:16" x14ac:dyDescent="0.3">
      <c r="B228" s="67"/>
      <c r="C228" s="68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30">
        <f t="shared" ref="P228" si="30">SUM(D228:O228)</f>
        <v>0</v>
      </c>
    </row>
    <row r="229" spans="2:16" ht="15" thickBot="1" x14ac:dyDescent="0.35">
      <c r="B229" s="114"/>
      <c r="C229" s="72" t="s">
        <v>207</v>
      </c>
      <c r="D229" s="131">
        <f t="shared" ref="D229:P229" si="31">SUM(D212:D228)</f>
        <v>22103.712979393789</v>
      </c>
      <c r="E229" s="131">
        <f t="shared" si="31"/>
        <v>17849.372906738419</v>
      </c>
      <c r="F229" s="131">
        <f t="shared" si="31"/>
        <v>19949.29369023208</v>
      </c>
      <c r="G229" s="131">
        <f t="shared" si="31"/>
        <v>0</v>
      </c>
      <c r="H229" s="131">
        <f t="shared" si="31"/>
        <v>0</v>
      </c>
      <c r="I229" s="131">
        <f t="shared" si="31"/>
        <v>0</v>
      </c>
      <c r="J229" s="131">
        <f t="shared" si="31"/>
        <v>0</v>
      </c>
      <c r="K229" s="131">
        <f t="shared" si="31"/>
        <v>0</v>
      </c>
      <c r="L229" s="131">
        <f t="shared" si="31"/>
        <v>0</v>
      </c>
      <c r="M229" s="131">
        <f t="shared" si="31"/>
        <v>0</v>
      </c>
      <c r="N229" s="131">
        <f t="shared" si="31"/>
        <v>0</v>
      </c>
      <c r="O229" s="131">
        <f t="shared" si="31"/>
        <v>0</v>
      </c>
      <c r="P229" s="132">
        <f t="shared" si="31"/>
        <v>54929.78039103483</v>
      </c>
    </row>
    <row r="232" spans="2:16" ht="15" thickBot="1" x14ac:dyDescent="0.35">
      <c r="B232" s="24" t="s">
        <v>323</v>
      </c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</row>
    <row r="233" spans="2:16" ht="19.2" customHeight="1" x14ac:dyDescent="0.3">
      <c r="B233" s="113"/>
      <c r="C233" s="69"/>
      <c r="D233" s="70" t="s">
        <v>167</v>
      </c>
      <c r="E233" s="70" t="s">
        <v>168</v>
      </c>
      <c r="F233" s="70" t="s">
        <v>169</v>
      </c>
      <c r="G233" s="70" t="s">
        <v>170</v>
      </c>
      <c r="H233" s="70" t="s">
        <v>171</v>
      </c>
      <c r="I233" s="70" t="s">
        <v>172</v>
      </c>
      <c r="J233" s="70" t="s">
        <v>173</v>
      </c>
      <c r="K233" s="70" t="s">
        <v>174</v>
      </c>
      <c r="L233" s="70" t="s">
        <v>175</v>
      </c>
      <c r="M233" s="70" t="s">
        <v>176</v>
      </c>
      <c r="N233" s="70" t="s">
        <v>177</v>
      </c>
      <c r="O233" s="70" t="s">
        <v>178</v>
      </c>
      <c r="P233" s="71" t="s">
        <v>153</v>
      </c>
    </row>
    <row r="234" spans="2:16" x14ac:dyDescent="0.3">
      <c r="B234" s="65">
        <v>1</v>
      </c>
      <c r="C234" s="42" t="s">
        <v>324</v>
      </c>
      <c r="D234" s="115">
        <v>1291</v>
      </c>
      <c r="E234" s="115">
        <v>1612.92</v>
      </c>
      <c r="F234" s="115">
        <v>1606.27</v>
      </c>
      <c r="G234" s="115"/>
      <c r="H234" s="115"/>
      <c r="I234" s="115"/>
      <c r="J234" s="115"/>
      <c r="K234" s="115"/>
      <c r="L234" s="115"/>
      <c r="M234" s="115"/>
      <c r="N234" s="115"/>
      <c r="O234" s="115"/>
      <c r="P234" s="116">
        <f t="shared" ref="P234:P235" si="32">SUM(D234:O234)</f>
        <v>4510.1900000000005</v>
      </c>
    </row>
    <row r="235" spans="2:16" x14ac:dyDescent="0.3">
      <c r="B235" s="65">
        <v>2</v>
      </c>
      <c r="C235" s="42" t="s">
        <v>325</v>
      </c>
      <c r="D235" s="115">
        <v>17499.640000000003</v>
      </c>
      <c r="E235" s="115">
        <v>28866.69</v>
      </c>
      <c r="F235" s="115">
        <v>41580.42</v>
      </c>
      <c r="G235" s="115"/>
      <c r="H235" s="115"/>
      <c r="I235" s="115"/>
      <c r="J235" s="115"/>
      <c r="K235" s="115"/>
      <c r="L235" s="115"/>
      <c r="M235" s="115"/>
      <c r="N235" s="115"/>
      <c r="O235" s="115"/>
      <c r="P235" s="116">
        <f t="shared" si="32"/>
        <v>87946.75</v>
      </c>
    </row>
    <row r="236" spans="2:16" x14ac:dyDescent="0.3">
      <c r="B236" s="65">
        <v>3</v>
      </c>
      <c r="C236" s="42" t="s">
        <v>326</v>
      </c>
      <c r="D236" s="115">
        <v>107261.62</v>
      </c>
      <c r="E236" s="115">
        <v>190009.41</v>
      </c>
      <c r="F236" s="115">
        <v>151165.91</v>
      </c>
      <c r="G236" s="115"/>
      <c r="H236" s="115"/>
      <c r="I236" s="115"/>
      <c r="J236" s="115"/>
      <c r="K236" s="115"/>
      <c r="L236" s="115"/>
      <c r="M236" s="115"/>
      <c r="N236" s="115"/>
      <c r="O236" s="115"/>
      <c r="P236" s="116"/>
    </row>
    <row r="237" spans="2:16" x14ac:dyDescent="0.3">
      <c r="B237" s="133"/>
      <c r="C237" s="68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5"/>
    </row>
    <row r="238" spans="2:16" ht="15" thickBot="1" x14ac:dyDescent="0.35">
      <c r="B238" s="114"/>
      <c r="C238" s="72" t="s">
        <v>215</v>
      </c>
      <c r="D238" s="119">
        <f>SUM(D234:D237)</f>
        <v>126052.26</v>
      </c>
      <c r="E238" s="119">
        <f t="shared" ref="E238:P238" si="33">SUM(E234:E237)</f>
        <v>220489.02000000002</v>
      </c>
      <c r="F238" s="119">
        <f t="shared" si="33"/>
        <v>194352.6</v>
      </c>
      <c r="G238" s="119">
        <f t="shared" si="33"/>
        <v>0</v>
      </c>
      <c r="H238" s="119">
        <f t="shared" si="33"/>
        <v>0</v>
      </c>
      <c r="I238" s="119">
        <f t="shared" si="33"/>
        <v>0</v>
      </c>
      <c r="J238" s="119">
        <f t="shared" si="33"/>
        <v>0</v>
      </c>
      <c r="K238" s="119">
        <f t="shared" si="33"/>
        <v>0</v>
      </c>
      <c r="L238" s="119">
        <f t="shared" si="33"/>
        <v>0</v>
      </c>
      <c r="M238" s="119">
        <f t="shared" si="33"/>
        <v>0</v>
      </c>
      <c r="N238" s="119">
        <f t="shared" si="33"/>
        <v>0</v>
      </c>
      <c r="O238" s="119">
        <f t="shared" si="33"/>
        <v>0</v>
      </c>
      <c r="P238" s="120">
        <f t="shared" si="33"/>
        <v>92456.94</v>
      </c>
    </row>
    <row r="241" spans="2:16" ht="15" thickBot="1" x14ac:dyDescent="0.35">
      <c r="B241" s="24" t="s">
        <v>320</v>
      </c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</row>
    <row r="242" spans="2:16" ht="19.2" customHeight="1" x14ac:dyDescent="0.3">
      <c r="B242" s="113"/>
      <c r="C242" s="69"/>
      <c r="D242" s="70" t="s">
        <v>167</v>
      </c>
      <c r="E242" s="70" t="s">
        <v>168</v>
      </c>
      <c r="F242" s="70" t="s">
        <v>169</v>
      </c>
      <c r="G242" s="70" t="s">
        <v>170</v>
      </c>
      <c r="H242" s="70" t="s">
        <v>171</v>
      </c>
      <c r="I242" s="70" t="s">
        <v>172</v>
      </c>
      <c r="J242" s="70" t="s">
        <v>173</v>
      </c>
      <c r="K242" s="70" t="s">
        <v>174</v>
      </c>
      <c r="L242" s="70" t="s">
        <v>175</v>
      </c>
      <c r="M242" s="70" t="s">
        <v>176</v>
      </c>
      <c r="N242" s="70" t="s">
        <v>177</v>
      </c>
      <c r="O242" s="70" t="s">
        <v>178</v>
      </c>
      <c r="P242" s="71" t="s">
        <v>153</v>
      </c>
    </row>
    <row r="243" spans="2:16" x14ac:dyDescent="0.3">
      <c r="B243" s="65">
        <v>1</v>
      </c>
      <c r="C243" s="176" t="s">
        <v>317</v>
      </c>
      <c r="D243" s="181">
        <v>1115.27</v>
      </c>
      <c r="E243" s="181">
        <f>11821.53</f>
        <v>11821.53</v>
      </c>
      <c r="F243" s="181">
        <f>20996.4</f>
        <v>20996.400000000001</v>
      </c>
      <c r="G243" s="121"/>
      <c r="H243" s="121"/>
      <c r="I243" s="121"/>
      <c r="J243" s="121"/>
      <c r="K243" s="121"/>
      <c r="L243" s="121"/>
      <c r="M243" s="121"/>
      <c r="N243" s="121"/>
      <c r="O243" s="121"/>
      <c r="P243" s="122">
        <f t="shared" ref="P243:P244" si="34">SUM(D243:O243)</f>
        <v>33933.200000000004</v>
      </c>
    </row>
    <row r="244" spans="2:16" x14ac:dyDescent="0.3">
      <c r="B244" s="65">
        <v>2</v>
      </c>
      <c r="C244" s="176" t="s">
        <v>318</v>
      </c>
      <c r="D244" s="177">
        <f>266.2+1630+365</f>
        <v>2261.1999999999998</v>
      </c>
      <c r="E244" s="177">
        <f>1923.71</f>
        <v>1923.71</v>
      </c>
      <c r="F244" s="177">
        <v>915.78</v>
      </c>
      <c r="G244" s="121"/>
      <c r="H244" s="121"/>
      <c r="I244" s="121"/>
      <c r="J244" s="121"/>
      <c r="K244" s="121"/>
      <c r="L244" s="121"/>
      <c r="M244" s="121"/>
      <c r="N244" s="121"/>
      <c r="O244" s="121"/>
      <c r="P244" s="122">
        <f t="shared" si="34"/>
        <v>5100.6899999999996</v>
      </c>
    </row>
    <row r="245" spans="2:16" x14ac:dyDescent="0.3">
      <c r="B245" s="65">
        <v>3</v>
      </c>
      <c r="C245" s="176" t="s">
        <v>319</v>
      </c>
      <c r="D245" s="177">
        <v>0</v>
      </c>
      <c r="E245" s="177">
        <v>0</v>
      </c>
      <c r="F245" s="177">
        <v>9708.85</v>
      </c>
      <c r="G245" s="121"/>
      <c r="H245" s="121"/>
      <c r="I245" s="121"/>
      <c r="J245" s="121"/>
      <c r="K245" s="121"/>
      <c r="L245" s="121"/>
      <c r="M245" s="121"/>
      <c r="N245" s="121"/>
      <c r="O245" s="121"/>
      <c r="P245" s="122">
        <f t="shared" ref="P245" si="35">SUM(D245:O245)</f>
        <v>9708.85</v>
      </c>
    </row>
    <row r="246" spans="2:16" x14ac:dyDescent="0.3">
      <c r="B246" s="67"/>
      <c r="C246" s="68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4">
        <f t="shared" ref="P246" si="36">SUM(D246:O246)</f>
        <v>0</v>
      </c>
    </row>
    <row r="247" spans="2:16" ht="15" thickBot="1" x14ac:dyDescent="0.35">
      <c r="B247" s="114"/>
      <c r="C247" s="72" t="s">
        <v>208</v>
      </c>
      <c r="D247" s="125">
        <f>SUM(D243:D246)</f>
        <v>3376.47</v>
      </c>
      <c r="E247" s="125">
        <f t="shared" ref="E247:P248" si="37">SUM(E242:E245)</f>
        <v>13745.240000000002</v>
      </c>
      <c r="F247" s="125">
        <f t="shared" si="37"/>
        <v>31621.03</v>
      </c>
      <c r="G247" s="125">
        <f t="shared" si="37"/>
        <v>0</v>
      </c>
      <c r="H247" s="125">
        <f t="shared" si="37"/>
        <v>0</v>
      </c>
      <c r="I247" s="125">
        <f t="shared" si="37"/>
        <v>0</v>
      </c>
      <c r="J247" s="125">
        <f t="shared" si="37"/>
        <v>0</v>
      </c>
      <c r="K247" s="125">
        <f t="shared" si="37"/>
        <v>0</v>
      </c>
      <c r="L247" s="125">
        <f t="shared" si="37"/>
        <v>0</v>
      </c>
      <c r="M247" s="125">
        <f t="shared" si="37"/>
        <v>0</v>
      </c>
      <c r="N247" s="125">
        <f t="shared" si="37"/>
        <v>0</v>
      </c>
      <c r="O247" s="125">
        <f t="shared" si="37"/>
        <v>0</v>
      </c>
      <c r="P247" s="126">
        <f t="shared" si="37"/>
        <v>48742.740000000005</v>
      </c>
    </row>
    <row r="248" spans="2:16" ht="15" thickBot="1" x14ac:dyDescent="0.35">
      <c r="B248" s="114"/>
      <c r="C248" s="72" t="s">
        <v>207</v>
      </c>
      <c r="D248" s="131">
        <f>D247/5.04</f>
        <v>669.93452380952374</v>
      </c>
      <c r="E248" s="131">
        <f>E247/4.95</f>
        <v>2776.8161616161619</v>
      </c>
      <c r="F248" s="131">
        <f>F247/4.85</f>
        <v>6519.8</v>
      </c>
      <c r="G248" s="131">
        <f t="shared" si="37"/>
        <v>0</v>
      </c>
      <c r="H248" s="131">
        <f t="shared" si="37"/>
        <v>0</v>
      </c>
      <c r="I248" s="131">
        <f t="shared" si="37"/>
        <v>0</v>
      </c>
      <c r="J248" s="131">
        <f t="shared" si="37"/>
        <v>0</v>
      </c>
      <c r="K248" s="131">
        <f t="shared" si="37"/>
        <v>0</v>
      </c>
      <c r="L248" s="131">
        <f t="shared" si="37"/>
        <v>0</v>
      </c>
      <c r="M248" s="131">
        <f t="shared" si="37"/>
        <v>0</v>
      </c>
      <c r="N248" s="131">
        <f t="shared" si="37"/>
        <v>0</v>
      </c>
      <c r="O248" s="131">
        <f t="shared" si="37"/>
        <v>0</v>
      </c>
      <c r="P248" s="132">
        <f t="shared" si="37"/>
        <v>48742.740000000005</v>
      </c>
    </row>
    <row r="251" spans="2:16" ht="15" thickBot="1" x14ac:dyDescent="0.35">
      <c r="B251" s="24" t="s">
        <v>321</v>
      </c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</row>
    <row r="252" spans="2:16" ht="19.2" customHeight="1" x14ac:dyDescent="0.3">
      <c r="B252" s="113"/>
      <c r="C252" s="69"/>
      <c r="D252" s="70" t="s">
        <v>167</v>
      </c>
      <c r="E252" s="70" t="s">
        <v>168</v>
      </c>
      <c r="F252" s="70" t="s">
        <v>169</v>
      </c>
      <c r="G252" s="70" t="s">
        <v>170</v>
      </c>
      <c r="H252" s="70" t="s">
        <v>171</v>
      </c>
      <c r="I252" s="70" t="s">
        <v>172</v>
      </c>
      <c r="J252" s="70" t="s">
        <v>173</v>
      </c>
      <c r="K252" s="70" t="s">
        <v>174</v>
      </c>
      <c r="L252" s="70" t="s">
        <v>175</v>
      </c>
      <c r="M252" s="70" t="s">
        <v>176</v>
      </c>
      <c r="N252" s="70" t="s">
        <v>177</v>
      </c>
      <c r="O252" s="70" t="s">
        <v>178</v>
      </c>
      <c r="P252" s="71" t="s">
        <v>153</v>
      </c>
    </row>
    <row r="253" spans="2:16" x14ac:dyDescent="0.3">
      <c r="B253" s="65">
        <v>1</v>
      </c>
      <c r="C253" s="42" t="s">
        <v>322</v>
      </c>
      <c r="D253" s="115">
        <v>7770</v>
      </c>
      <c r="E253" s="115">
        <v>0</v>
      </c>
      <c r="F253" s="115">
        <v>0</v>
      </c>
      <c r="G253" s="115"/>
      <c r="H253" s="115"/>
      <c r="I253" s="115"/>
      <c r="J253" s="115"/>
      <c r="K253" s="115"/>
      <c r="L253" s="115"/>
      <c r="M253" s="115"/>
      <c r="N253" s="115"/>
      <c r="O253" s="115"/>
      <c r="P253" s="116">
        <f t="shared" ref="P253:P254" si="38">SUM(D253:O253)</f>
        <v>7770</v>
      </c>
    </row>
    <row r="254" spans="2:16" x14ac:dyDescent="0.3">
      <c r="B254" s="65">
        <v>2</v>
      </c>
      <c r="C254" s="42" t="s">
        <v>317</v>
      </c>
      <c r="D254" s="115">
        <v>1037</v>
      </c>
      <c r="E254" s="115">
        <v>0</v>
      </c>
      <c r="F254" s="115">
        <v>3390</v>
      </c>
      <c r="G254" s="115"/>
      <c r="H254" s="115"/>
      <c r="I254" s="115"/>
      <c r="J254" s="115"/>
      <c r="K254" s="115"/>
      <c r="L254" s="115"/>
      <c r="M254" s="115"/>
      <c r="N254" s="115"/>
      <c r="O254" s="115"/>
      <c r="P254" s="116">
        <f t="shared" si="38"/>
        <v>4427</v>
      </c>
    </row>
    <row r="255" spans="2:16" x14ac:dyDescent="0.3">
      <c r="B255" s="65">
        <v>3</v>
      </c>
      <c r="C255" s="42" t="s">
        <v>319</v>
      </c>
      <c r="D255" s="115">
        <v>1041.3699999999999</v>
      </c>
      <c r="E255" s="115">
        <v>2634.81</v>
      </c>
      <c r="F255" s="115">
        <v>3104.77</v>
      </c>
      <c r="G255" s="115"/>
      <c r="H255" s="115"/>
      <c r="I255" s="115"/>
      <c r="J255" s="115"/>
      <c r="K255" s="115"/>
      <c r="L255" s="115"/>
      <c r="M255" s="115"/>
      <c r="N255" s="115"/>
      <c r="O255" s="115"/>
      <c r="P255" s="116"/>
    </row>
    <row r="256" spans="2:16" x14ac:dyDescent="0.3">
      <c r="B256" s="133"/>
      <c r="C256" s="68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5"/>
    </row>
    <row r="257" spans="2:16" ht="15" thickBot="1" x14ac:dyDescent="0.35">
      <c r="B257" s="114"/>
      <c r="C257" s="72" t="s">
        <v>215</v>
      </c>
      <c r="D257" s="119">
        <f>SUM(D253:D256)</f>
        <v>9848.369999999999</v>
      </c>
      <c r="E257" s="119">
        <f t="shared" ref="E257:P257" si="39">SUM(E253:E256)</f>
        <v>2634.81</v>
      </c>
      <c r="F257" s="119">
        <f t="shared" si="39"/>
        <v>6494.77</v>
      </c>
      <c r="G257" s="119">
        <f t="shared" si="39"/>
        <v>0</v>
      </c>
      <c r="H257" s="119">
        <f t="shared" si="39"/>
        <v>0</v>
      </c>
      <c r="I257" s="119">
        <f t="shared" si="39"/>
        <v>0</v>
      </c>
      <c r="J257" s="119">
        <f t="shared" si="39"/>
        <v>0</v>
      </c>
      <c r="K257" s="119">
        <f t="shared" si="39"/>
        <v>0</v>
      </c>
      <c r="L257" s="119">
        <f t="shared" si="39"/>
        <v>0</v>
      </c>
      <c r="M257" s="119">
        <f t="shared" si="39"/>
        <v>0</v>
      </c>
      <c r="N257" s="119">
        <f t="shared" si="39"/>
        <v>0</v>
      </c>
      <c r="O257" s="119">
        <f t="shared" si="39"/>
        <v>0</v>
      </c>
      <c r="P257" s="120">
        <f t="shared" si="39"/>
        <v>12197</v>
      </c>
    </row>
    <row r="260" spans="2:16" ht="15" thickBot="1" x14ac:dyDescent="0.35">
      <c r="B260" s="24" t="s">
        <v>244</v>
      </c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</row>
    <row r="261" spans="2:16" ht="19.2" customHeight="1" x14ac:dyDescent="0.3">
      <c r="B261" s="113"/>
      <c r="C261" s="69"/>
      <c r="D261" s="70" t="s">
        <v>167</v>
      </c>
      <c r="E261" s="70" t="s">
        <v>168</v>
      </c>
      <c r="F261" s="70" t="s">
        <v>169</v>
      </c>
      <c r="G261" s="70" t="s">
        <v>170</v>
      </c>
      <c r="H261" s="70" t="s">
        <v>171</v>
      </c>
      <c r="I261" s="70" t="s">
        <v>172</v>
      </c>
      <c r="J261" s="70" t="s">
        <v>173</v>
      </c>
      <c r="K261" s="70" t="s">
        <v>174</v>
      </c>
      <c r="L261" s="70" t="s">
        <v>175</v>
      </c>
      <c r="M261" s="70" t="s">
        <v>176</v>
      </c>
      <c r="N261" s="70" t="s">
        <v>177</v>
      </c>
      <c r="O261" s="70" t="s">
        <v>178</v>
      </c>
      <c r="P261" s="71" t="s">
        <v>153</v>
      </c>
    </row>
    <row r="262" spans="2:16" x14ac:dyDescent="0.3">
      <c r="B262" s="65">
        <v>1</v>
      </c>
      <c r="C262" s="42" t="s">
        <v>122</v>
      </c>
      <c r="D262" s="115">
        <v>1710</v>
      </c>
      <c r="E262" s="115">
        <v>1425</v>
      </c>
      <c r="F262" s="115">
        <f>1710+2650+2650+410</f>
        <v>7420</v>
      </c>
      <c r="G262" s="115"/>
      <c r="H262" s="115"/>
      <c r="I262" s="115"/>
      <c r="J262" s="115"/>
      <c r="K262" s="115"/>
      <c r="L262" s="115"/>
      <c r="M262" s="115"/>
      <c r="N262" s="115"/>
      <c r="O262" s="115"/>
      <c r="P262" s="116">
        <f t="shared" ref="P262:P263" si="40">SUM(D262:O262)</f>
        <v>10555</v>
      </c>
    </row>
    <row r="263" spans="2:16" x14ac:dyDescent="0.3">
      <c r="B263" s="65">
        <v>2</v>
      </c>
      <c r="C263" s="42" t="s">
        <v>245</v>
      </c>
      <c r="D263" s="115">
        <v>7712.2</v>
      </c>
      <c r="E263" s="115">
        <v>5827.18</v>
      </c>
      <c r="F263" s="115">
        <v>5211.97</v>
      </c>
      <c r="G263" s="115"/>
      <c r="H263" s="115"/>
      <c r="I263" s="115"/>
      <c r="J263" s="115"/>
      <c r="K263" s="115"/>
      <c r="L263" s="115"/>
      <c r="M263" s="115"/>
      <c r="N263" s="115"/>
      <c r="O263" s="115"/>
      <c r="P263" s="116">
        <f t="shared" si="40"/>
        <v>18751.350000000002</v>
      </c>
    </row>
    <row r="264" spans="2:16" x14ac:dyDescent="0.3">
      <c r="B264" s="133"/>
      <c r="C264" s="68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5"/>
    </row>
    <row r="265" spans="2:16" ht="15" thickBot="1" x14ac:dyDescent="0.35">
      <c r="B265" s="114"/>
      <c r="C265" s="72" t="s">
        <v>215</v>
      </c>
      <c r="D265" s="119">
        <f>SUM(D262:D264)</f>
        <v>9422.2000000000007</v>
      </c>
      <c r="E265" s="119">
        <f t="shared" ref="E265:P265" si="41">SUM(E262:E264)</f>
        <v>7252.18</v>
      </c>
      <c r="F265" s="119">
        <f t="shared" si="41"/>
        <v>12631.970000000001</v>
      </c>
      <c r="G265" s="119">
        <f t="shared" si="41"/>
        <v>0</v>
      </c>
      <c r="H265" s="119">
        <f t="shared" si="41"/>
        <v>0</v>
      </c>
      <c r="I265" s="119">
        <f t="shared" si="41"/>
        <v>0</v>
      </c>
      <c r="J265" s="119">
        <f t="shared" si="41"/>
        <v>0</v>
      </c>
      <c r="K265" s="119">
        <f t="shared" si="41"/>
        <v>0</v>
      </c>
      <c r="L265" s="119">
        <f t="shared" si="41"/>
        <v>0</v>
      </c>
      <c r="M265" s="119">
        <f t="shared" si="41"/>
        <v>0</v>
      </c>
      <c r="N265" s="119">
        <f t="shared" si="41"/>
        <v>0</v>
      </c>
      <c r="O265" s="119">
        <f t="shared" si="41"/>
        <v>0</v>
      </c>
      <c r="P265" s="120">
        <f t="shared" si="41"/>
        <v>29306.350000000002</v>
      </c>
    </row>
    <row r="268" spans="2:16" ht="15" thickBot="1" x14ac:dyDescent="0.35">
      <c r="B268" s="24" t="s">
        <v>260</v>
      </c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</row>
    <row r="269" spans="2:16" ht="19.2" customHeight="1" x14ac:dyDescent="0.3">
      <c r="B269" s="113"/>
      <c r="C269" s="69"/>
      <c r="D269" s="70" t="s">
        <v>167</v>
      </c>
      <c r="E269" s="70" t="s">
        <v>168</v>
      </c>
      <c r="F269" s="70" t="s">
        <v>169</v>
      </c>
      <c r="G269" s="70" t="s">
        <v>170</v>
      </c>
      <c r="H269" s="70" t="s">
        <v>171</v>
      </c>
      <c r="I269" s="70" t="s">
        <v>172</v>
      </c>
      <c r="J269" s="70" t="s">
        <v>173</v>
      </c>
      <c r="K269" s="70" t="s">
        <v>174</v>
      </c>
      <c r="L269" s="70" t="s">
        <v>175</v>
      </c>
      <c r="M269" s="70" t="s">
        <v>176</v>
      </c>
      <c r="N269" s="70" t="s">
        <v>177</v>
      </c>
      <c r="O269" s="70" t="s">
        <v>178</v>
      </c>
      <c r="P269" s="71" t="s">
        <v>153</v>
      </c>
    </row>
    <row r="270" spans="2:16" x14ac:dyDescent="0.3">
      <c r="B270" s="65">
        <v>1</v>
      </c>
      <c r="C270" s="42" t="s">
        <v>184</v>
      </c>
      <c r="D270" s="127">
        <f>173.4+(325/5.04)</f>
        <v>237.88412698412699</v>
      </c>
      <c r="E270" s="127">
        <f>173.4+(246/4.95)</f>
        <v>223.09696969696969</v>
      </c>
      <c r="F270" s="127">
        <f>173.4+(1945/4.85)</f>
        <v>574.43092783505153</v>
      </c>
      <c r="G270" s="127"/>
      <c r="H270" s="127"/>
      <c r="I270" s="127"/>
      <c r="J270" s="127"/>
      <c r="K270" s="127"/>
      <c r="L270" s="127"/>
      <c r="M270" s="127"/>
      <c r="N270" s="127"/>
      <c r="O270" s="127"/>
      <c r="P270" s="128">
        <f t="shared" ref="P270:P273" si="42">SUM(D270:O270)</f>
        <v>1035.4120245161482</v>
      </c>
    </row>
    <row r="271" spans="2:16" x14ac:dyDescent="0.3">
      <c r="B271" s="65">
        <v>2</v>
      </c>
      <c r="C271" s="42" t="s">
        <v>261</v>
      </c>
      <c r="D271" s="127">
        <f>337.66-92.94</f>
        <v>244.72000000000003</v>
      </c>
      <c r="E271" s="127">
        <v>39.74</v>
      </c>
      <c r="F271" s="127">
        <v>39.74</v>
      </c>
      <c r="G271" s="127"/>
      <c r="H271" s="127"/>
      <c r="I271" s="127"/>
      <c r="J271" s="127"/>
      <c r="K271" s="127"/>
      <c r="L271" s="127"/>
      <c r="M271" s="127"/>
      <c r="N271" s="127"/>
      <c r="O271" s="127"/>
      <c r="P271" s="128">
        <f t="shared" si="42"/>
        <v>324.20000000000005</v>
      </c>
    </row>
    <row r="272" spans="2:16" x14ac:dyDescent="0.3">
      <c r="B272" s="65">
        <v>3</v>
      </c>
      <c r="C272" s="42" t="s">
        <v>250</v>
      </c>
      <c r="D272" s="127">
        <f>5750.14/5.04</f>
        <v>1140.9007936507937</v>
      </c>
      <c r="E272" s="127">
        <f>5191.27/4.95</f>
        <v>1048.7414141414142</v>
      </c>
      <c r="F272" s="127">
        <f>5191.27/4.85</f>
        <v>1070.3649484536083</v>
      </c>
      <c r="G272" s="127"/>
      <c r="H272" s="127"/>
      <c r="I272" s="127"/>
      <c r="J272" s="127"/>
      <c r="K272" s="127"/>
      <c r="L272" s="127"/>
      <c r="M272" s="127"/>
      <c r="N272" s="127"/>
      <c r="O272" s="127"/>
      <c r="P272" s="128">
        <f t="shared" ref="P272" si="43">SUM(D272:O272)</f>
        <v>3260.0071562458161</v>
      </c>
    </row>
    <row r="273" spans="2:16" x14ac:dyDescent="0.3">
      <c r="B273" s="67"/>
      <c r="C273" s="68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30">
        <f t="shared" si="42"/>
        <v>0</v>
      </c>
    </row>
    <row r="274" spans="2:16" ht="15" thickBot="1" x14ac:dyDescent="0.35">
      <c r="B274" s="114"/>
      <c r="C274" s="72" t="s">
        <v>207</v>
      </c>
      <c r="D274" s="131">
        <f>SUM(D270:D273)</f>
        <v>1623.5049206349208</v>
      </c>
      <c r="E274" s="131">
        <f t="shared" ref="E274:P274" si="44">SUM(E270:E273)</f>
        <v>1311.5783838383838</v>
      </c>
      <c r="F274" s="131">
        <f t="shared" si="44"/>
        <v>1684.5358762886599</v>
      </c>
      <c r="G274" s="131">
        <f t="shared" si="44"/>
        <v>0</v>
      </c>
      <c r="H274" s="131">
        <f t="shared" si="44"/>
        <v>0</v>
      </c>
      <c r="I274" s="131">
        <f t="shared" si="44"/>
        <v>0</v>
      </c>
      <c r="J274" s="131">
        <f t="shared" si="44"/>
        <v>0</v>
      </c>
      <c r="K274" s="131">
        <f t="shared" si="44"/>
        <v>0</v>
      </c>
      <c r="L274" s="131">
        <f t="shared" si="44"/>
        <v>0</v>
      </c>
      <c r="M274" s="131">
        <f t="shared" si="44"/>
        <v>0</v>
      </c>
      <c r="N274" s="131">
        <f t="shared" si="44"/>
        <v>0</v>
      </c>
      <c r="O274" s="131">
        <f t="shared" si="44"/>
        <v>0</v>
      </c>
      <c r="P274" s="132">
        <f t="shared" si="44"/>
        <v>4619.6191807619643</v>
      </c>
    </row>
    <row r="277" spans="2:16" ht="15" thickBot="1" x14ac:dyDescent="0.35">
      <c r="B277" s="24" t="s">
        <v>262</v>
      </c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</row>
    <row r="278" spans="2:16" ht="19.2" customHeight="1" x14ac:dyDescent="0.3">
      <c r="B278" s="113"/>
      <c r="C278" s="69"/>
      <c r="D278" s="70" t="s">
        <v>167</v>
      </c>
      <c r="E278" s="70" t="s">
        <v>168</v>
      </c>
      <c r="F278" s="70" t="s">
        <v>169</v>
      </c>
      <c r="G278" s="70" t="s">
        <v>170</v>
      </c>
      <c r="H278" s="70" t="s">
        <v>171</v>
      </c>
      <c r="I278" s="70" t="s">
        <v>172</v>
      </c>
      <c r="J278" s="70" t="s">
        <v>173</v>
      </c>
      <c r="K278" s="70" t="s">
        <v>174</v>
      </c>
      <c r="L278" s="70" t="s">
        <v>175</v>
      </c>
      <c r="M278" s="70" t="s">
        <v>176</v>
      </c>
      <c r="N278" s="70" t="s">
        <v>177</v>
      </c>
      <c r="O278" s="70" t="s">
        <v>178</v>
      </c>
      <c r="P278" s="71" t="s">
        <v>153</v>
      </c>
    </row>
    <row r="279" spans="2:16" x14ac:dyDescent="0.3">
      <c r="B279" s="65">
        <v>1</v>
      </c>
      <c r="C279" s="42" t="s">
        <v>248</v>
      </c>
      <c r="D279" s="127">
        <v>16673.628000000001</v>
      </c>
      <c r="E279" s="127">
        <v>17021.20199999999</v>
      </c>
      <c r="F279" s="127">
        <v>18748.507499999971</v>
      </c>
      <c r="G279" s="127"/>
      <c r="H279" s="127"/>
      <c r="I279" s="127"/>
      <c r="J279" s="127"/>
      <c r="K279" s="127"/>
      <c r="L279" s="127"/>
      <c r="M279" s="127"/>
      <c r="N279" s="127"/>
      <c r="O279" s="127"/>
      <c r="P279" s="128">
        <f t="shared" ref="P279:P283" si="45">SUM(D279:O279)</f>
        <v>52443.337499999958</v>
      </c>
    </row>
    <row r="280" spans="2:16" x14ac:dyDescent="0.3">
      <c r="B280" s="65">
        <v>2</v>
      </c>
      <c r="C280" s="42" t="s">
        <v>249</v>
      </c>
      <c r="D280" s="127">
        <v>25748.253299999997</v>
      </c>
      <c r="E280" s="127">
        <v>18186.503999999979</v>
      </c>
      <c r="F280" s="127">
        <v>33629.22990000018</v>
      </c>
      <c r="G280" s="127"/>
      <c r="H280" s="127"/>
      <c r="I280" s="127"/>
      <c r="J280" s="127"/>
      <c r="K280" s="127"/>
      <c r="L280" s="127"/>
      <c r="M280" s="127"/>
      <c r="N280" s="127"/>
      <c r="O280" s="127"/>
      <c r="P280" s="128">
        <f t="shared" si="45"/>
        <v>77563.987200000149</v>
      </c>
    </row>
    <row r="281" spans="2:16" x14ac:dyDescent="0.3">
      <c r="B281" s="65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8">
        <f t="shared" si="45"/>
        <v>0</v>
      </c>
    </row>
    <row r="282" spans="2:16" x14ac:dyDescent="0.3">
      <c r="B282" s="65">
        <v>3</v>
      </c>
      <c r="C282" s="42" t="s">
        <v>253</v>
      </c>
      <c r="D282" s="127">
        <f>4003/1.15</f>
        <v>3480.8695652173915</v>
      </c>
      <c r="E282" s="127">
        <v>4511.3999999999996</v>
      </c>
      <c r="F282" s="127">
        <f>4632.91/1.151</f>
        <v>4025.11728931364</v>
      </c>
      <c r="G282" s="127"/>
      <c r="H282" s="127"/>
      <c r="I282" s="127"/>
      <c r="J282" s="127"/>
      <c r="K282" s="127"/>
      <c r="L282" s="127"/>
      <c r="M282" s="127"/>
      <c r="N282" s="127"/>
      <c r="O282" s="127"/>
      <c r="P282" s="128">
        <f t="shared" si="45"/>
        <v>12017.386854531032</v>
      </c>
    </row>
    <row r="283" spans="2:16" x14ac:dyDescent="0.3">
      <c r="B283" s="67"/>
      <c r="C283" s="68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30">
        <f t="shared" si="45"/>
        <v>0</v>
      </c>
    </row>
    <row r="284" spans="2:16" ht="15" thickBot="1" x14ac:dyDescent="0.35">
      <c r="B284" s="114"/>
      <c r="C284" s="72" t="s">
        <v>207</v>
      </c>
      <c r="D284" s="131">
        <f>SUM(D279:D283)</f>
        <v>45902.750865217386</v>
      </c>
      <c r="E284" s="131">
        <f t="shared" ref="E284:P284" si="46">SUM(E279:E283)</f>
        <v>39719.105999999971</v>
      </c>
      <c r="F284" s="131">
        <f t="shared" si="46"/>
        <v>56402.85468931379</v>
      </c>
      <c r="G284" s="131">
        <f t="shared" si="46"/>
        <v>0</v>
      </c>
      <c r="H284" s="131">
        <f t="shared" si="46"/>
        <v>0</v>
      </c>
      <c r="I284" s="131">
        <f t="shared" si="46"/>
        <v>0</v>
      </c>
      <c r="J284" s="131">
        <f t="shared" si="46"/>
        <v>0</v>
      </c>
      <c r="K284" s="131">
        <f t="shared" si="46"/>
        <v>0</v>
      </c>
      <c r="L284" s="131">
        <f t="shared" si="46"/>
        <v>0</v>
      </c>
      <c r="M284" s="131">
        <f t="shared" si="46"/>
        <v>0</v>
      </c>
      <c r="N284" s="131">
        <f t="shared" si="46"/>
        <v>0</v>
      </c>
      <c r="O284" s="131">
        <f t="shared" si="46"/>
        <v>0</v>
      </c>
      <c r="P284" s="132">
        <f t="shared" si="46"/>
        <v>142024.71155453115</v>
      </c>
    </row>
    <row r="287" spans="2:16" ht="15" thickBot="1" x14ac:dyDescent="0.35">
      <c r="B287" s="24" t="s">
        <v>269</v>
      </c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</row>
    <row r="288" spans="2:16" ht="19.2" customHeight="1" x14ac:dyDescent="0.3">
      <c r="B288" s="113"/>
      <c r="C288" s="69"/>
      <c r="D288" s="70" t="s">
        <v>167</v>
      </c>
      <c r="E288" s="70" t="s">
        <v>168</v>
      </c>
      <c r="F288" s="70" t="s">
        <v>169</v>
      </c>
      <c r="G288" s="70" t="s">
        <v>170</v>
      </c>
      <c r="H288" s="70" t="s">
        <v>171</v>
      </c>
      <c r="I288" s="70" t="s">
        <v>172</v>
      </c>
      <c r="J288" s="70" t="s">
        <v>173</v>
      </c>
      <c r="K288" s="70" t="s">
        <v>174</v>
      </c>
      <c r="L288" s="70" t="s">
        <v>175</v>
      </c>
      <c r="M288" s="70" t="s">
        <v>176</v>
      </c>
      <c r="N288" s="70" t="s">
        <v>177</v>
      </c>
      <c r="O288" s="70" t="s">
        <v>178</v>
      </c>
      <c r="P288" s="71" t="s">
        <v>153</v>
      </c>
    </row>
    <row r="289" spans="2:16" x14ac:dyDescent="0.3">
      <c r="B289" s="65">
        <v>1</v>
      </c>
      <c r="C289" s="42" t="s">
        <v>212</v>
      </c>
      <c r="D289" s="146">
        <v>10105.120000000001</v>
      </c>
      <c r="E289" s="146">
        <v>15595.55</v>
      </c>
      <c r="F289" s="146">
        <v>17604.18</v>
      </c>
      <c r="G289" s="146"/>
      <c r="H289" s="146"/>
      <c r="I289" s="146"/>
      <c r="J289" s="146"/>
      <c r="K289" s="146"/>
      <c r="L289" s="146"/>
      <c r="M289" s="146"/>
      <c r="N289" s="146"/>
      <c r="O289" s="146"/>
      <c r="P289" s="147">
        <f t="shared" ref="P289:P294" si="47">SUM(D289:O289)</f>
        <v>43304.85</v>
      </c>
    </row>
    <row r="290" spans="2:16" x14ac:dyDescent="0.3">
      <c r="B290" s="65">
        <v>2</v>
      </c>
      <c r="C290" s="42" t="s">
        <v>65</v>
      </c>
      <c r="D290" s="146">
        <v>4426.51</v>
      </c>
      <c r="E290" s="146">
        <v>12803.64</v>
      </c>
      <c r="F290" s="146">
        <v>18448.29</v>
      </c>
      <c r="G290" s="146"/>
      <c r="H290" s="146"/>
      <c r="I290" s="146"/>
      <c r="J290" s="146"/>
      <c r="K290" s="146"/>
      <c r="L290" s="146"/>
      <c r="M290" s="146"/>
      <c r="N290" s="146"/>
      <c r="O290" s="146"/>
      <c r="P290" s="147">
        <f t="shared" si="47"/>
        <v>35678.44</v>
      </c>
    </row>
    <row r="291" spans="2:16" ht="6.6" customHeight="1" x14ac:dyDescent="0.3">
      <c r="B291" s="65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7">
        <f t="shared" si="47"/>
        <v>0</v>
      </c>
    </row>
    <row r="292" spans="2:16" x14ac:dyDescent="0.3">
      <c r="B292" s="65">
        <v>3</v>
      </c>
      <c r="C292" s="42" t="s">
        <v>18</v>
      </c>
      <c r="D292" s="146">
        <v>4022.2</v>
      </c>
      <c r="E292" s="146">
        <v>2219.35</v>
      </c>
      <c r="F292" s="146">
        <v>3161.26</v>
      </c>
      <c r="G292" s="146"/>
      <c r="H292" s="146"/>
      <c r="I292" s="146"/>
      <c r="J292" s="146"/>
      <c r="K292" s="146"/>
      <c r="L292" s="146"/>
      <c r="M292" s="146"/>
      <c r="N292" s="146"/>
      <c r="O292" s="146"/>
      <c r="P292" s="147">
        <f t="shared" si="47"/>
        <v>9402.81</v>
      </c>
    </row>
    <row r="293" spans="2:16" x14ac:dyDescent="0.3">
      <c r="B293" s="65">
        <v>4</v>
      </c>
      <c r="C293" s="42" t="s">
        <v>270</v>
      </c>
      <c r="D293" s="146">
        <v>1414.1</v>
      </c>
      <c r="E293" s="146">
        <v>2005.64</v>
      </c>
      <c r="F293" s="146">
        <v>2162.4299999999998</v>
      </c>
      <c r="G293" s="146"/>
      <c r="H293" s="146"/>
      <c r="I293" s="146"/>
      <c r="J293" s="146"/>
      <c r="K293" s="146"/>
      <c r="L293" s="146"/>
      <c r="M293" s="146"/>
      <c r="N293" s="146"/>
      <c r="O293" s="146"/>
      <c r="P293" s="147">
        <f t="shared" si="47"/>
        <v>5582.17</v>
      </c>
    </row>
    <row r="294" spans="2:16" x14ac:dyDescent="0.3">
      <c r="B294" s="67"/>
      <c r="C294" s="6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9">
        <f t="shared" si="47"/>
        <v>0</v>
      </c>
    </row>
    <row r="295" spans="2:16" ht="15" thickBot="1" x14ac:dyDescent="0.35">
      <c r="B295" s="114"/>
      <c r="C295" s="72" t="s">
        <v>271</v>
      </c>
      <c r="D295" s="150">
        <f>SUM(D289:D294)</f>
        <v>19967.93</v>
      </c>
      <c r="E295" s="150">
        <f t="shared" ref="E295:P295" si="48">SUM(E289:E294)</f>
        <v>32624.179999999997</v>
      </c>
      <c r="F295" s="150">
        <f t="shared" si="48"/>
        <v>41376.160000000003</v>
      </c>
      <c r="G295" s="150">
        <f t="shared" si="48"/>
        <v>0</v>
      </c>
      <c r="H295" s="150">
        <f t="shared" si="48"/>
        <v>0</v>
      </c>
      <c r="I295" s="150">
        <f t="shared" si="48"/>
        <v>0</v>
      </c>
      <c r="J295" s="150">
        <f t="shared" si="48"/>
        <v>0</v>
      </c>
      <c r="K295" s="150">
        <f t="shared" si="48"/>
        <v>0</v>
      </c>
      <c r="L295" s="150">
        <f t="shared" si="48"/>
        <v>0</v>
      </c>
      <c r="M295" s="150">
        <f t="shared" si="48"/>
        <v>0</v>
      </c>
      <c r="N295" s="150">
        <f t="shared" si="48"/>
        <v>0</v>
      </c>
      <c r="O295" s="150">
        <f t="shared" si="48"/>
        <v>0</v>
      </c>
      <c r="P295" s="151">
        <f t="shared" si="48"/>
        <v>93968.27</v>
      </c>
    </row>
    <row r="298" spans="2:16" ht="15" thickBot="1" x14ac:dyDescent="0.35">
      <c r="B298" s="24" t="s">
        <v>191</v>
      </c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</row>
    <row r="299" spans="2:16" ht="19.2" customHeight="1" x14ac:dyDescent="0.3">
      <c r="B299" s="113"/>
      <c r="C299" s="69"/>
      <c r="D299" s="70" t="s">
        <v>167</v>
      </c>
      <c r="E299" s="70" t="s">
        <v>168</v>
      </c>
      <c r="F299" s="70" t="s">
        <v>169</v>
      </c>
      <c r="G299" s="70" t="s">
        <v>170</v>
      </c>
      <c r="H299" s="70" t="s">
        <v>171</v>
      </c>
      <c r="I299" s="70" t="s">
        <v>172</v>
      </c>
      <c r="J299" s="70" t="s">
        <v>173</v>
      </c>
      <c r="K299" s="70" t="s">
        <v>174</v>
      </c>
      <c r="L299" s="70" t="s">
        <v>175</v>
      </c>
      <c r="M299" s="70" t="s">
        <v>176</v>
      </c>
      <c r="N299" s="70" t="s">
        <v>177</v>
      </c>
      <c r="O299" s="70" t="s">
        <v>178</v>
      </c>
      <c r="P299" s="71" t="s">
        <v>153</v>
      </c>
    </row>
    <row r="300" spans="2:16" x14ac:dyDescent="0.3">
      <c r="B300" s="65">
        <v>1</v>
      </c>
      <c r="C300" s="42" t="s">
        <v>212</v>
      </c>
      <c r="D300" s="146">
        <v>9543.5400000000009</v>
      </c>
      <c r="E300" s="146">
        <v>5032.49</v>
      </c>
      <c r="F300" s="160">
        <f>65320.59*0.1</f>
        <v>6532.0590000000002</v>
      </c>
      <c r="G300" s="146"/>
      <c r="H300" s="146"/>
      <c r="I300" s="146"/>
      <c r="J300" s="146"/>
      <c r="K300" s="146"/>
      <c r="L300" s="146"/>
      <c r="M300" s="146"/>
      <c r="N300" s="146"/>
      <c r="O300" s="146"/>
      <c r="P300" s="147">
        <f t="shared" ref="P300:P306" si="49">SUM(D300:O300)</f>
        <v>21108.089</v>
      </c>
    </row>
    <row r="301" spans="2:16" x14ac:dyDescent="0.3">
      <c r="B301" s="65">
        <v>2</v>
      </c>
      <c r="C301" s="42" t="s">
        <v>65</v>
      </c>
      <c r="D301" s="146">
        <v>0</v>
      </c>
      <c r="E301" s="146">
        <v>1242.56</v>
      </c>
      <c r="F301" s="160">
        <f>376796.07/19.7*0.1</f>
        <v>1912.6704060913708</v>
      </c>
      <c r="G301" s="146"/>
      <c r="H301" s="146"/>
      <c r="I301" s="146"/>
      <c r="J301" s="146"/>
      <c r="K301" s="146"/>
      <c r="L301" s="146"/>
      <c r="M301" s="146"/>
      <c r="N301" s="146"/>
      <c r="O301" s="146"/>
      <c r="P301" s="147">
        <f t="shared" si="49"/>
        <v>3155.2304060913707</v>
      </c>
    </row>
    <row r="302" spans="2:16" ht="6.6" customHeight="1" x14ac:dyDescent="0.3">
      <c r="B302" s="65"/>
      <c r="D302" s="146"/>
      <c r="E302" s="146"/>
      <c r="F302" s="160"/>
      <c r="G302" s="146"/>
      <c r="H302" s="146"/>
      <c r="I302" s="146"/>
      <c r="J302" s="146"/>
      <c r="K302" s="146"/>
      <c r="L302" s="146"/>
      <c r="M302" s="146"/>
      <c r="N302" s="146"/>
      <c r="O302" s="146"/>
      <c r="P302" s="147"/>
    </row>
    <row r="303" spans="2:16" x14ac:dyDescent="0.3">
      <c r="B303" s="65">
        <v>3</v>
      </c>
      <c r="C303" s="42" t="s">
        <v>18</v>
      </c>
      <c r="D303" s="146">
        <v>4000.18</v>
      </c>
      <c r="E303" s="146">
        <v>1659.92</v>
      </c>
      <c r="F303" s="160">
        <f>39730*1.151*0.1</f>
        <v>4572.9230000000007</v>
      </c>
      <c r="G303" s="146"/>
      <c r="H303" s="146"/>
      <c r="I303" s="146"/>
      <c r="J303" s="146"/>
      <c r="K303" s="146"/>
      <c r="L303" s="146"/>
      <c r="M303" s="146"/>
      <c r="N303" s="146"/>
      <c r="O303" s="146"/>
      <c r="P303" s="147">
        <f t="shared" si="49"/>
        <v>10233.023000000001</v>
      </c>
    </row>
    <row r="304" spans="2:16" x14ac:dyDescent="0.3">
      <c r="B304" s="65">
        <v>4</v>
      </c>
      <c r="C304" s="42" t="s">
        <v>270</v>
      </c>
      <c r="D304" s="146">
        <v>6157.59</v>
      </c>
      <c r="E304" s="146">
        <v>3426.64</v>
      </c>
      <c r="F304" s="160">
        <f>46170*1.151*0.1</f>
        <v>5314.1670000000004</v>
      </c>
      <c r="G304" s="146"/>
      <c r="H304" s="146"/>
      <c r="I304" s="146"/>
      <c r="J304" s="146"/>
      <c r="K304" s="146"/>
      <c r="L304" s="146"/>
      <c r="M304" s="146"/>
      <c r="N304" s="146"/>
      <c r="O304" s="146"/>
      <c r="P304" s="147">
        <f t="shared" si="49"/>
        <v>14898.397000000001</v>
      </c>
    </row>
    <row r="305" spans="2:16" x14ac:dyDescent="0.3">
      <c r="B305" s="65">
        <v>5</v>
      </c>
      <c r="C305" s="42" t="s">
        <v>1</v>
      </c>
      <c r="D305" s="146">
        <v>9510</v>
      </c>
      <c r="E305" s="146">
        <v>10805.41</v>
      </c>
      <c r="F305" s="160">
        <f>80865*1.151*0.1</f>
        <v>9307.5615000000016</v>
      </c>
      <c r="G305" s="146"/>
      <c r="H305" s="146"/>
      <c r="I305" s="146"/>
      <c r="J305" s="146"/>
      <c r="K305" s="146"/>
      <c r="L305" s="146"/>
      <c r="M305" s="146"/>
      <c r="N305" s="146"/>
      <c r="O305" s="146"/>
      <c r="P305" s="147">
        <f t="shared" si="49"/>
        <v>29622.9715</v>
      </c>
    </row>
    <row r="306" spans="2:16" x14ac:dyDescent="0.3">
      <c r="B306" s="67"/>
      <c r="C306" s="6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9">
        <f t="shared" si="49"/>
        <v>0</v>
      </c>
    </row>
    <row r="307" spans="2:16" ht="15" thickBot="1" x14ac:dyDescent="0.35">
      <c r="B307" s="114"/>
      <c r="C307" s="72" t="s">
        <v>271</v>
      </c>
      <c r="D307" s="150">
        <f>SUM(D300:D306)</f>
        <v>29211.31</v>
      </c>
      <c r="E307" s="150">
        <f t="shared" ref="E307:P307" si="50">SUM(E300:E306)</f>
        <v>22167.019999999997</v>
      </c>
      <c r="F307" s="150">
        <f t="shared" si="50"/>
        <v>27639.38090609137</v>
      </c>
      <c r="G307" s="150">
        <f t="shared" si="50"/>
        <v>0</v>
      </c>
      <c r="H307" s="150">
        <f t="shared" si="50"/>
        <v>0</v>
      </c>
      <c r="I307" s="150">
        <f t="shared" si="50"/>
        <v>0</v>
      </c>
      <c r="J307" s="150">
        <f t="shared" si="50"/>
        <v>0</v>
      </c>
      <c r="K307" s="150">
        <f t="shared" si="50"/>
        <v>0</v>
      </c>
      <c r="L307" s="150">
        <f t="shared" si="50"/>
        <v>0</v>
      </c>
      <c r="M307" s="150">
        <f t="shared" si="50"/>
        <v>0</v>
      </c>
      <c r="N307" s="150">
        <f t="shared" si="50"/>
        <v>0</v>
      </c>
      <c r="O307" s="150">
        <f t="shared" si="50"/>
        <v>0</v>
      </c>
      <c r="P307" s="151">
        <f t="shared" si="50"/>
        <v>79017.710906091364</v>
      </c>
    </row>
    <row r="310" spans="2:16" ht="15" thickBot="1" x14ac:dyDescent="0.35">
      <c r="B310" s="24" t="s">
        <v>160</v>
      </c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</row>
    <row r="311" spans="2:16" ht="19.2" customHeight="1" x14ac:dyDescent="0.3">
      <c r="B311" s="113"/>
      <c r="C311" s="69"/>
      <c r="D311" s="70" t="s">
        <v>167</v>
      </c>
      <c r="E311" s="70" t="s">
        <v>168</v>
      </c>
      <c r="F311" s="70" t="s">
        <v>169</v>
      </c>
      <c r="G311" s="70" t="s">
        <v>170</v>
      </c>
      <c r="H311" s="70" t="s">
        <v>171</v>
      </c>
      <c r="I311" s="70" t="s">
        <v>172</v>
      </c>
      <c r="J311" s="70" t="s">
        <v>173</v>
      </c>
      <c r="K311" s="70" t="s">
        <v>174</v>
      </c>
      <c r="L311" s="70" t="s">
        <v>175</v>
      </c>
      <c r="M311" s="70" t="s">
        <v>176</v>
      </c>
      <c r="N311" s="70" t="s">
        <v>177</v>
      </c>
      <c r="O311" s="70" t="s">
        <v>178</v>
      </c>
      <c r="P311" s="71" t="s">
        <v>153</v>
      </c>
    </row>
    <row r="312" spans="2:16" x14ac:dyDescent="0.3">
      <c r="B312" s="65">
        <v>1</v>
      </c>
      <c r="C312" s="42" t="s">
        <v>212</v>
      </c>
      <c r="D312" s="146">
        <v>4631</v>
      </c>
      <c r="E312" s="146">
        <f>3395.88*1.141</f>
        <v>3874.6990800000003</v>
      </c>
      <c r="F312" s="146">
        <f>3807.54*1.151</f>
        <v>4382.4785400000001</v>
      </c>
      <c r="G312" s="146"/>
      <c r="H312" s="146"/>
      <c r="I312" s="146"/>
      <c r="J312" s="146"/>
      <c r="K312" s="146"/>
      <c r="L312" s="146"/>
      <c r="M312" s="146"/>
      <c r="N312" s="146"/>
      <c r="O312" s="146"/>
      <c r="P312" s="147">
        <f t="shared" ref="P312:P318" si="51">SUM(D312:O312)</f>
        <v>12888.17762</v>
      </c>
    </row>
    <row r="313" spans="2:16" x14ac:dyDescent="0.3">
      <c r="B313" s="65">
        <v>2</v>
      </c>
      <c r="C313" s="42" t="s">
        <v>65</v>
      </c>
      <c r="D313" s="146">
        <v>0</v>
      </c>
      <c r="E313" s="146">
        <v>0</v>
      </c>
      <c r="F313" s="146">
        <v>0</v>
      </c>
      <c r="G313" s="146"/>
      <c r="H313" s="146"/>
      <c r="I313" s="146"/>
      <c r="J313" s="146"/>
      <c r="K313" s="146"/>
      <c r="L313" s="146"/>
      <c r="M313" s="146"/>
      <c r="N313" s="146"/>
      <c r="O313" s="146"/>
      <c r="P313" s="147">
        <f t="shared" si="51"/>
        <v>0</v>
      </c>
    </row>
    <row r="314" spans="2:16" ht="6.6" customHeight="1" x14ac:dyDescent="0.3">
      <c r="B314" s="65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7"/>
    </row>
    <row r="315" spans="2:16" x14ac:dyDescent="0.3">
      <c r="B315" s="65">
        <v>3</v>
      </c>
      <c r="C315" s="42" t="s">
        <v>18</v>
      </c>
      <c r="D315" s="146">
        <v>1500</v>
      </c>
      <c r="E315" s="146">
        <f>1514.34*1.141</f>
        <v>1727.86194</v>
      </c>
      <c r="F315" s="146">
        <f>13879*0.18*1.151</f>
        <v>2875.4512199999999</v>
      </c>
      <c r="G315" s="146"/>
      <c r="H315" s="146"/>
      <c r="I315" s="146"/>
      <c r="J315" s="146"/>
      <c r="K315" s="146"/>
      <c r="L315" s="146"/>
      <c r="M315" s="146"/>
      <c r="N315" s="146"/>
      <c r="O315" s="146"/>
      <c r="P315" s="147">
        <f t="shared" si="51"/>
        <v>6103.3131599999997</v>
      </c>
    </row>
    <row r="316" spans="2:16" x14ac:dyDescent="0.3">
      <c r="B316" s="65">
        <v>4</v>
      </c>
      <c r="C316" s="42" t="s">
        <v>270</v>
      </c>
      <c r="D316" s="146">
        <v>1500</v>
      </c>
      <c r="E316" s="146">
        <f>1481.4*1.141</f>
        <v>1690.2774000000002</v>
      </c>
      <c r="F316" s="146">
        <f>10944*0.18*1.151</f>
        <v>2267.3779199999999</v>
      </c>
      <c r="G316" s="146"/>
      <c r="H316" s="146"/>
      <c r="I316" s="146"/>
      <c r="J316" s="146"/>
      <c r="K316" s="146"/>
      <c r="L316" s="146"/>
      <c r="M316" s="146"/>
      <c r="N316" s="146"/>
      <c r="O316" s="146"/>
      <c r="P316" s="147">
        <f t="shared" si="51"/>
        <v>5457.6553199999998</v>
      </c>
    </row>
    <row r="317" spans="2:16" x14ac:dyDescent="0.3">
      <c r="B317" s="65">
        <v>5</v>
      </c>
      <c r="C317" s="42" t="s">
        <v>1</v>
      </c>
      <c r="D317" s="146">
        <v>1500</v>
      </c>
      <c r="E317" s="146">
        <f>3161.52*1.141</f>
        <v>3607.29432</v>
      </c>
      <c r="F317" s="146">
        <f>15914*0.18*1.151</f>
        <v>3297.0625199999999</v>
      </c>
      <c r="G317" s="146"/>
      <c r="H317" s="146"/>
      <c r="I317" s="146"/>
      <c r="J317" s="146"/>
      <c r="K317" s="146"/>
      <c r="L317" s="146"/>
      <c r="M317" s="146"/>
      <c r="N317" s="146"/>
      <c r="O317" s="146"/>
      <c r="P317" s="147">
        <f t="shared" si="51"/>
        <v>8404.3568400000004</v>
      </c>
    </row>
    <row r="318" spans="2:16" x14ac:dyDescent="0.3">
      <c r="B318" s="67"/>
      <c r="C318" s="6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9">
        <f t="shared" si="51"/>
        <v>0</v>
      </c>
    </row>
    <row r="319" spans="2:16" ht="15" thickBot="1" x14ac:dyDescent="0.35">
      <c r="B319" s="114"/>
      <c r="C319" s="72" t="s">
        <v>271</v>
      </c>
      <c r="D319" s="150">
        <f>SUM(D312:D318)</f>
        <v>9131</v>
      </c>
      <c r="E319" s="150">
        <f t="shared" ref="E319:P319" si="52">SUM(E312:E318)</f>
        <v>10900.132740000001</v>
      </c>
      <c r="F319" s="150">
        <f t="shared" si="52"/>
        <v>12822.370199999999</v>
      </c>
      <c r="G319" s="150">
        <f t="shared" si="52"/>
        <v>0</v>
      </c>
      <c r="H319" s="150">
        <f t="shared" si="52"/>
        <v>0</v>
      </c>
      <c r="I319" s="150">
        <f t="shared" si="52"/>
        <v>0</v>
      </c>
      <c r="J319" s="150">
        <f t="shared" si="52"/>
        <v>0</v>
      </c>
      <c r="K319" s="150">
        <f t="shared" si="52"/>
        <v>0</v>
      </c>
      <c r="L319" s="150">
        <f t="shared" si="52"/>
        <v>0</v>
      </c>
      <c r="M319" s="150">
        <f t="shared" si="52"/>
        <v>0</v>
      </c>
      <c r="N319" s="150">
        <f t="shared" si="52"/>
        <v>0</v>
      </c>
      <c r="O319" s="150">
        <f t="shared" si="52"/>
        <v>0</v>
      </c>
      <c r="P319" s="151">
        <f t="shared" si="52"/>
        <v>32853.502939999998</v>
      </c>
    </row>
    <row r="322" spans="2:16" ht="15" thickBot="1" x14ac:dyDescent="0.35">
      <c r="B322" s="24" t="s">
        <v>276</v>
      </c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</row>
    <row r="323" spans="2:16" ht="19.2" customHeight="1" x14ac:dyDescent="0.3">
      <c r="B323" s="113"/>
      <c r="C323" s="69"/>
      <c r="D323" s="70" t="s">
        <v>167</v>
      </c>
      <c r="E323" s="70" t="s">
        <v>168</v>
      </c>
      <c r="F323" s="70" t="s">
        <v>169</v>
      </c>
      <c r="G323" s="70" t="s">
        <v>170</v>
      </c>
      <c r="H323" s="70" t="s">
        <v>171</v>
      </c>
      <c r="I323" s="70" t="s">
        <v>172</v>
      </c>
      <c r="J323" s="70" t="s">
        <v>173</v>
      </c>
      <c r="K323" s="70" t="s">
        <v>174</v>
      </c>
      <c r="L323" s="70" t="s">
        <v>175</v>
      </c>
      <c r="M323" s="70" t="s">
        <v>176</v>
      </c>
      <c r="N323" s="70" t="s">
        <v>177</v>
      </c>
      <c r="O323" s="70" t="s">
        <v>178</v>
      </c>
      <c r="P323" s="71" t="s">
        <v>153</v>
      </c>
    </row>
    <row r="324" spans="2:16" x14ac:dyDescent="0.3">
      <c r="B324" s="65">
        <v>1</v>
      </c>
      <c r="C324" s="42" t="s">
        <v>212</v>
      </c>
      <c r="D324" s="146">
        <v>1487.44</v>
      </c>
      <c r="E324" s="146">
        <v>4788.7700000000004</v>
      </c>
      <c r="F324" s="160">
        <f>79940.41*1.151*0.1</f>
        <v>9201.1411910000006</v>
      </c>
      <c r="G324" s="146"/>
      <c r="H324" s="146"/>
      <c r="I324" s="146"/>
      <c r="J324" s="146"/>
      <c r="K324" s="146"/>
      <c r="L324" s="146"/>
      <c r="M324" s="146"/>
      <c r="N324" s="146"/>
      <c r="O324" s="146"/>
      <c r="P324" s="147">
        <f t="shared" ref="P324" si="53">SUM(D324:O324)</f>
        <v>15477.351191000002</v>
      </c>
    </row>
    <row r="325" spans="2:16" ht="6.6" customHeight="1" x14ac:dyDescent="0.3">
      <c r="B325" s="65"/>
      <c r="D325" s="146"/>
      <c r="E325" s="146"/>
      <c r="F325" s="160"/>
      <c r="G325" s="146"/>
      <c r="H325" s="146"/>
      <c r="I325" s="146"/>
      <c r="J325" s="146"/>
      <c r="K325" s="146"/>
      <c r="L325" s="146"/>
      <c r="M325" s="146"/>
      <c r="N325" s="146"/>
      <c r="O325" s="146"/>
      <c r="P325" s="147"/>
    </row>
    <row r="326" spans="2:16" x14ac:dyDescent="0.3">
      <c r="B326" s="65">
        <v>2</v>
      </c>
      <c r="C326" s="42" t="s">
        <v>315</v>
      </c>
      <c r="D326" s="146">
        <v>4564</v>
      </c>
      <c r="E326" s="146">
        <f>56.06+12209</f>
        <v>12265.06</v>
      </c>
      <c r="F326" s="160">
        <f>119027*1.151*0.1</f>
        <v>13700.0077</v>
      </c>
      <c r="G326" s="146"/>
      <c r="H326" s="146"/>
      <c r="I326" s="146"/>
      <c r="J326" s="146"/>
      <c r="K326" s="146"/>
      <c r="L326" s="146"/>
      <c r="M326" s="146"/>
      <c r="N326" s="146"/>
      <c r="O326" s="146"/>
      <c r="P326" s="147">
        <f t="shared" ref="P326:P327" si="54">SUM(D326:O326)</f>
        <v>30529.0677</v>
      </c>
    </row>
    <row r="327" spans="2:16" x14ac:dyDescent="0.3">
      <c r="B327" s="67"/>
      <c r="C327" s="68"/>
      <c r="D327" s="161"/>
      <c r="E327" s="161"/>
      <c r="F327" s="161"/>
      <c r="G327" s="148"/>
      <c r="H327" s="148"/>
      <c r="I327" s="148"/>
      <c r="J327" s="148"/>
      <c r="K327" s="148"/>
      <c r="L327" s="148"/>
      <c r="M327" s="148"/>
      <c r="N327" s="148"/>
      <c r="O327" s="148"/>
      <c r="P327" s="149">
        <f t="shared" si="54"/>
        <v>0</v>
      </c>
    </row>
    <row r="328" spans="2:16" ht="15" thickBot="1" x14ac:dyDescent="0.35">
      <c r="B328" s="114"/>
      <c r="C328" s="72" t="s">
        <v>271</v>
      </c>
      <c r="D328" s="150">
        <f t="shared" ref="D328:P328" si="55">SUM(D324:D327)</f>
        <v>6051.4400000000005</v>
      </c>
      <c r="E328" s="150">
        <f t="shared" si="55"/>
        <v>17053.830000000002</v>
      </c>
      <c r="F328" s="150">
        <f t="shared" si="55"/>
        <v>22901.148891000001</v>
      </c>
      <c r="G328" s="150">
        <f t="shared" si="55"/>
        <v>0</v>
      </c>
      <c r="H328" s="150">
        <f t="shared" si="55"/>
        <v>0</v>
      </c>
      <c r="I328" s="150">
        <f t="shared" si="55"/>
        <v>0</v>
      </c>
      <c r="J328" s="150">
        <f t="shared" si="55"/>
        <v>0</v>
      </c>
      <c r="K328" s="150">
        <f t="shared" si="55"/>
        <v>0</v>
      </c>
      <c r="L328" s="150">
        <f t="shared" si="55"/>
        <v>0</v>
      </c>
      <c r="M328" s="150">
        <f t="shared" si="55"/>
        <v>0</v>
      </c>
      <c r="N328" s="150">
        <f t="shared" si="55"/>
        <v>0</v>
      </c>
      <c r="O328" s="150">
        <f t="shared" si="55"/>
        <v>0</v>
      </c>
      <c r="P328" s="151">
        <f t="shared" si="55"/>
        <v>46006.418891000001</v>
      </c>
    </row>
  </sheetData>
  <pageMargins left="0.7" right="0.7" top="0.75" bottom="0.75" header="0.3" footer="0.3"/>
  <ignoredErrors>
    <ignoredError sqref="E39 P94" formula="1"/>
    <ignoredError xmlns:x16r3="http://schemas.microsoft.com/office/spreadsheetml/2018/08/main" sqref="G95:P95" x16r3:misleadingFormat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FB33-583A-5346-9758-5950583D8E22}">
  <dimension ref="A2:C51"/>
  <sheetViews>
    <sheetView zoomScaleNormal="100" workbookViewId="0">
      <selection activeCell="F17" sqref="F17"/>
    </sheetView>
  </sheetViews>
  <sheetFormatPr defaultColWidth="11.19921875" defaultRowHeight="15.6" x14ac:dyDescent="0.3"/>
  <sheetData>
    <row r="2" spans="1:3" x14ac:dyDescent="0.3">
      <c r="A2" s="1" t="s">
        <v>4</v>
      </c>
      <c r="B2" s="3"/>
    </row>
    <row r="3" spans="1:3" x14ac:dyDescent="0.3">
      <c r="A3" s="1" t="s">
        <v>28</v>
      </c>
      <c r="B3" s="3"/>
      <c r="C3">
        <f>SUM(B4:B6)</f>
        <v>5300</v>
      </c>
    </row>
    <row r="4" spans="1:3" x14ac:dyDescent="0.3">
      <c r="A4" s="2" t="s">
        <v>22</v>
      </c>
      <c r="B4" s="3">
        <v>0</v>
      </c>
    </row>
    <row r="5" spans="1:3" x14ac:dyDescent="0.3">
      <c r="A5" s="2" t="s">
        <v>23</v>
      </c>
      <c r="B5" s="3">
        <v>3050</v>
      </c>
    </row>
    <row r="6" spans="1:3" x14ac:dyDescent="0.3">
      <c r="A6" s="2" t="s">
        <v>29</v>
      </c>
      <c r="B6" s="3">
        <v>2250</v>
      </c>
    </row>
    <row r="7" spans="1:3" x14ac:dyDescent="0.3">
      <c r="A7" s="1" t="s">
        <v>14</v>
      </c>
      <c r="B7" s="3"/>
      <c r="C7">
        <f>SUM(B8:B12)</f>
        <v>15650</v>
      </c>
    </row>
    <row r="8" spans="1:3" x14ac:dyDescent="0.3">
      <c r="A8" t="s">
        <v>5</v>
      </c>
      <c r="B8" s="3">
        <v>5150</v>
      </c>
    </row>
    <row r="9" spans="1:3" x14ac:dyDescent="0.3">
      <c r="A9" t="s">
        <v>6</v>
      </c>
      <c r="B9" s="3">
        <v>5150</v>
      </c>
    </row>
    <row r="10" spans="1:3" x14ac:dyDescent="0.3">
      <c r="A10" t="s">
        <v>7</v>
      </c>
      <c r="B10" s="3">
        <v>2750</v>
      </c>
    </row>
    <row r="11" spans="1:3" x14ac:dyDescent="0.3">
      <c r="A11" t="s">
        <v>56</v>
      </c>
      <c r="B11" s="3">
        <v>1300</v>
      </c>
    </row>
    <row r="12" spans="1:3" x14ac:dyDescent="0.3">
      <c r="A12" s="7" t="s">
        <v>57</v>
      </c>
      <c r="B12" s="8">
        <v>1300</v>
      </c>
    </row>
    <row r="13" spans="1:3" x14ac:dyDescent="0.3">
      <c r="A13" s="1" t="s">
        <v>16</v>
      </c>
      <c r="B13" s="3"/>
      <c r="C13">
        <f>B14</f>
        <v>4167</v>
      </c>
    </row>
    <row r="14" spans="1:3" x14ac:dyDescent="0.3">
      <c r="A14" t="s">
        <v>17</v>
      </c>
      <c r="B14" s="3">
        <v>4167</v>
      </c>
    </row>
    <row r="15" spans="1:3" x14ac:dyDescent="0.3">
      <c r="A15" s="1" t="s">
        <v>13</v>
      </c>
      <c r="B15" s="3"/>
      <c r="C15">
        <f>SUM(B16:B20)</f>
        <v>12000</v>
      </c>
    </row>
    <row r="16" spans="1:3" x14ac:dyDescent="0.3">
      <c r="A16" t="s">
        <v>8</v>
      </c>
      <c r="B16" s="3">
        <v>3000</v>
      </c>
    </row>
    <row r="17" spans="1:3" x14ac:dyDescent="0.3">
      <c r="A17" t="s">
        <v>9</v>
      </c>
      <c r="B17" s="3">
        <v>4000</v>
      </c>
    </row>
    <row r="18" spans="1:3" x14ac:dyDescent="0.3">
      <c r="A18" t="s">
        <v>10</v>
      </c>
      <c r="B18" s="3">
        <v>3000</v>
      </c>
    </row>
    <row r="19" spans="1:3" x14ac:dyDescent="0.3">
      <c r="A19" t="s">
        <v>11</v>
      </c>
      <c r="B19" s="3">
        <v>1000</v>
      </c>
    </row>
    <row r="20" spans="1:3" x14ac:dyDescent="0.3">
      <c r="A20" t="s">
        <v>12</v>
      </c>
      <c r="B20" s="3">
        <v>1000</v>
      </c>
    </row>
    <row r="21" spans="1:3" x14ac:dyDescent="0.3">
      <c r="A21" s="1" t="s">
        <v>15</v>
      </c>
      <c r="B21" s="3"/>
      <c r="C21">
        <f>SUM(B22:B25)</f>
        <v>4005</v>
      </c>
    </row>
    <row r="22" spans="1:3" x14ac:dyDescent="0.3">
      <c r="A22" t="s">
        <v>30</v>
      </c>
      <c r="B22" s="3">
        <v>1500</v>
      </c>
    </row>
    <row r="23" spans="1:3" x14ac:dyDescent="0.3">
      <c r="A23" t="s">
        <v>31</v>
      </c>
      <c r="B23" s="3">
        <v>775</v>
      </c>
    </row>
    <row r="24" spans="1:3" x14ac:dyDescent="0.3">
      <c r="A24" t="s">
        <v>32</v>
      </c>
      <c r="B24" s="3">
        <v>865</v>
      </c>
    </row>
    <row r="25" spans="1:3" x14ac:dyDescent="0.3">
      <c r="A25" s="7" t="s">
        <v>33</v>
      </c>
      <c r="B25" s="8">
        <v>865</v>
      </c>
    </row>
    <row r="26" spans="1:3" x14ac:dyDescent="0.3">
      <c r="A26" s="1" t="s">
        <v>48</v>
      </c>
      <c r="B26" s="3"/>
      <c r="C26">
        <f>SUM(B27:B29)</f>
        <v>4465</v>
      </c>
    </row>
    <row r="27" spans="1:3" x14ac:dyDescent="0.3">
      <c r="A27" t="s">
        <v>49</v>
      </c>
      <c r="B27" s="3">
        <v>3215</v>
      </c>
    </row>
    <row r="28" spans="1:3" x14ac:dyDescent="0.3">
      <c r="A28" t="s">
        <v>52</v>
      </c>
      <c r="B28" s="3">
        <v>700</v>
      </c>
    </row>
    <row r="29" spans="1:3" x14ac:dyDescent="0.3">
      <c r="A29" t="s">
        <v>53</v>
      </c>
      <c r="B29" s="3">
        <v>550</v>
      </c>
    </row>
    <row r="30" spans="1:3" x14ac:dyDescent="0.3">
      <c r="A30" s="1" t="s">
        <v>50</v>
      </c>
      <c r="B30" s="3"/>
      <c r="C30">
        <f>B31</f>
        <v>2100</v>
      </c>
    </row>
    <row r="31" spans="1:3" x14ac:dyDescent="0.3">
      <c r="A31" t="s">
        <v>51</v>
      </c>
      <c r="B31" s="3">
        <v>2100</v>
      </c>
    </row>
    <row r="32" spans="1:3" x14ac:dyDescent="0.3">
      <c r="A32" s="1" t="s">
        <v>54</v>
      </c>
      <c r="B32" s="3"/>
      <c r="C32">
        <f>B33</f>
        <v>1750</v>
      </c>
    </row>
    <row r="33" spans="1:3" x14ac:dyDescent="0.3">
      <c r="A33" t="s">
        <v>55</v>
      </c>
      <c r="B33" s="3">
        <v>1750</v>
      </c>
    </row>
    <row r="36" spans="1:3" x14ac:dyDescent="0.3">
      <c r="A36" t="s">
        <v>19</v>
      </c>
      <c r="B36" s="3">
        <v>5545</v>
      </c>
      <c r="C36" s="3" t="s">
        <v>44</v>
      </c>
    </row>
    <row r="37" spans="1:3" x14ac:dyDescent="0.3">
      <c r="A37" t="s">
        <v>24</v>
      </c>
      <c r="B37" s="3">
        <v>3034</v>
      </c>
      <c r="C37" s="3" t="s">
        <v>44</v>
      </c>
    </row>
    <row r="38" spans="1:3" x14ac:dyDescent="0.3">
      <c r="A38" t="s">
        <v>25</v>
      </c>
      <c r="B38" s="3">
        <v>2422</v>
      </c>
      <c r="C38" s="3" t="s">
        <v>44</v>
      </c>
    </row>
    <row r="39" spans="1:3" x14ac:dyDescent="0.3">
      <c r="A39" t="s">
        <v>41</v>
      </c>
      <c r="B39" s="3">
        <v>2177</v>
      </c>
      <c r="C39" s="3" t="s">
        <v>44</v>
      </c>
    </row>
    <row r="40" spans="1:3" x14ac:dyDescent="0.3">
      <c r="A40" t="s">
        <v>39</v>
      </c>
      <c r="B40" s="3">
        <v>2422</v>
      </c>
      <c r="C40" s="3" t="s">
        <v>44</v>
      </c>
    </row>
    <row r="41" spans="1:3" x14ac:dyDescent="0.3">
      <c r="A41" t="s">
        <v>40</v>
      </c>
      <c r="B41" s="3">
        <v>1072</v>
      </c>
      <c r="C41" s="3" t="s">
        <v>44</v>
      </c>
    </row>
    <row r="42" spans="1:3" x14ac:dyDescent="0.3">
      <c r="A42" t="s">
        <v>38</v>
      </c>
      <c r="B42" s="3">
        <v>2422</v>
      </c>
      <c r="C42" s="3" t="s">
        <v>44</v>
      </c>
    </row>
    <row r="43" spans="1:3" x14ac:dyDescent="0.3">
      <c r="A43" t="s">
        <v>35</v>
      </c>
      <c r="B43" s="3">
        <v>5028</v>
      </c>
      <c r="C43" s="3" t="s">
        <v>44</v>
      </c>
    </row>
    <row r="44" spans="1:3" x14ac:dyDescent="0.3">
      <c r="A44" t="s">
        <v>36</v>
      </c>
      <c r="B44" s="3">
        <v>5111</v>
      </c>
      <c r="C44" s="3" t="s">
        <v>44</v>
      </c>
    </row>
    <row r="45" spans="1:3" x14ac:dyDescent="0.3">
      <c r="A45" s="7" t="s">
        <v>27</v>
      </c>
      <c r="B45" s="8">
        <v>4340</v>
      </c>
      <c r="C45" s="8" t="s">
        <v>44</v>
      </c>
    </row>
    <row r="46" spans="1:3" x14ac:dyDescent="0.3">
      <c r="A46" t="s">
        <v>38</v>
      </c>
      <c r="B46" s="3">
        <v>1500</v>
      </c>
      <c r="C46" s="3" t="s">
        <v>44</v>
      </c>
    </row>
    <row r="47" spans="1:3" x14ac:dyDescent="0.3">
      <c r="A47" t="s">
        <v>37</v>
      </c>
      <c r="B47" s="3">
        <v>1500</v>
      </c>
      <c r="C47" s="3" t="s">
        <v>44</v>
      </c>
    </row>
    <row r="48" spans="1:3" x14ac:dyDescent="0.3">
      <c r="A48" t="s">
        <v>20</v>
      </c>
      <c r="B48" s="3">
        <v>4852</v>
      </c>
      <c r="C48" s="3" t="s">
        <v>44</v>
      </c>
    </row>
    <row r="49" spans="1:3" x14ac:dyDescent="0.3">
      <c r="A49" t="s">
        <v>21</v>
      </c>
      <c r="B49" s="3">
        <v>4200</v>
      </c>
      <c r="C49" s="3" t="s">
        <v>44</v>
      </c>
    </row>
    <row r="50" spans="1:3" x14ac:dyDescent="0.3">
      <c r="A50" t="s">
        <v>42</v>
      </c>
      <c r="B50" s="3">
        <v>2500</v>
      </c>
      <c r="C50" s="3" t="s">
        <v>44</v>
      </c>
    </row>
    <row r="51" spans="1:3" x14ac:dyDescent="0.3">
      <c r="A51" t="s">
        <v>43</v>
      </c>
      <c r="B51" s="3">
        <v>2300</v>
      </c>
      <c r="C51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Annual Review</vt:lpstr>
      <vt:lpstr>B2C</vt:lpstr>
      <vt:lpstr>B1</vt:lpstr>
      <vt:lpstr>Manage Services</vt:lpstr>
      <vt:lpstr>B2B Old</vt:lpstr>
      <vt:lpstr>B2B</vt:lpstr>
      <vt:lpstr>Expense breakdown</vt:lpstr>
      <vt:lpstr>Archived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Mohammad Hidayathullah</cp:lastModifiedBy>
  <dcterms:created xsi:type="dcterms:W3CDTF">2026-01-05T17:19:57Z</dcterms:created>
  <dcterms:modified xsi:type="dcterms:W3CDTF">2026-04-14T08:51:48Z</dcterms:modified>
</cp:coreProperties>
</file>